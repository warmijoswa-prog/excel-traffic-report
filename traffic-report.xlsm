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rmi\Documents\Billy\Coursera\Power Bi\Projects\Mejora de procesos mediente automatizacion\TRAFFIC REPORT\"/>
    </mc:Choice>
  </mc:AlternateContent>
  <xr:revisionPtr revIDLastSave="0" documentId="13_ncr:1_{CD412130-7F70-4BB3-9780-0BED0A0D5B0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IL" sheetId="3" r:id="rId1"/>
    <sheet name="Daily voice traffic" sheetId="1" r:id="rId2"/>
    <sheet name="Daily OTT traffic" sheetId="6" r:id="rId3"/>
  </sheets>
  <functionGroups builtInGroupCount="19"/>
  <definedNames>
    <definedName name="Consulta_desde_ODIN" localSheetId="2" hidden="1">'Daily OTT traffic'!$A$1:$B$24</definedName>
    <definedName name="Consulta_desde_ODIN" localSheetId="1" hidden="1">'Daily voice traffic'!$A$1:$D$24</definedName>
    <definedName name="Consulta_desde_ODIN_1" localSheetId="2" hidden="1">'Daily OTT traffic'!#REF!</definedName>
    <definedName name="Consulta_desde_ODIN_2" localSheetId="2" hidden="1">'Daily OTT traffic'!#REF!</definedName>
    <definedName name="Consulta_desde_ODIN_3" localSheetId="2" hidden="1">'Daily OTT traffic'!#REF!</definedName>
    <definedName name="Consulta_desde_ODIN_4" localSheetId="2" hidden="1">'Daily OTT traffic'!#REF!</definedName>
    <definedName name="Consulta_desde_ODIN_5" localSheetId="2" hidden="1">'Daily OTT traffic'!#REF!</definedName>
    <definedName name="Consulta_desde_ODIN_6" localSheetId="2" hidden="1">'Daily OTT traffic'!#REF!</definedName>
    <definedName name="Consulta_desde_ODIN_7" localSheetId="2" hidden="1">'Daily OTT traffic'!#REF!</definedName>
    <definedName name="Consulta_desde_ODIN_8" localSheetId="2" hidden="1">'Daily OTT traffic'!#REF!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  <c r="E2" i="1" l="1"/>
  <c r="E3" i="1"/>
  <c r="E4" i="1"/>
  <c r="E5" i="1"/>
  <c r="H5" i="1" s="1"/>
  <c r="E6" i="1"/>
  <c r="F6" i="1" s="1"/>
  <c r="E7" i="1"/>
  <c r="E8" i="1"/>
  <c r="E9" i="1"/>
  <c r="H9" i="1" s="1"/>
  <c r="E10" i="1"/>
  <c r="E11" i="1"/>
  <c r="E12" i="1"/>
  <c r="E13" i="1"/>
  <c r="H13" i="1" s="1"/>
  <c r="E14" i="1"/>
  <c r="E15" i="1"/>
  <c r="E16" i="1"/>
  <c r="E17" i="1"/>
  <c r="H17" i="1" s="1"/>
  <c r="E18" i="1"/>
  <c r="E19" i="1"/>
  <c r="E20" i="1"/>
  <c r="E21" i="1"/>
  <c r="H21" i="1" s="1"/>
  <c r="E22" i="1"/>
  <c r="E23" i="1"/>
  <c r="E24" i="1"/>
  <c r="F2" i="1"/>
  <c r="F3" i="1"/>
  <c r="F4" i="1"/>
  <c r="F7" i="1"/>
  <c r="F8" i="1"/>
  <c r="F10" i="1"/>
  <c r="F11" i="1"/>
  <c r="F12" i="1"/>
  <c r="F14" i="1"/>
  <c r="F15" i="1"/>
  <c r="F16" i="1"/>
  <c r="F18" i="1"/>
  <c r="F19" i="1"/>
  <c r="F20" i="1"/>
  <c r="F22" i="1"/>
  <c r="F23" i="1"/>
  <c r="F24" i="1"/>
  <c r="G2" i="1"/>
  <c r="G3" i="1"/>
  <c r="G4" i="1"/>
  <c r="G6" i="1"/>
  <c r="G7" i="1"/>
  <c r="G8" i="1"/>
  <c r="G10" i="1"/>
  <c r="G11" i="1"/>
  <c r="G12" i="1"/>
  <c r="G14" i="1"/>
  <c r="G15" i="1"/>
  <c r="G16" i="1"/>
  <c r="G18" i="1"/>
  <c r="G19" i="1"/>
  <c r="G20" i="1"/>
  <c r="G22" i="1"/>
  <c r="G23" i="1"/>
  <c r="G24" i="1"/>
  <c r="H2" i="1"/>
  <c r="H3" i="1"/>
  <c r="H4" i="1"/>
  <c r="H6" i="1"/>
  <c r="H7" i="1"/>
  <c r="H8" i="1"/>
  <c r="H10" i="1"/>
  <c r="H11" i="1"/>
  <c r="H12" i="1"/>
  <c r="H14" i="1"/>
  <c r="H15" i="1"/>
  <c r="H16" i="1"/>
  <c r="H18" i="1"/>
  <c r="H19" i="1"/>
  <c r="H20" i="1"/>
  <c r="H22" i="1"/>
  <c r="H23" i="1"/>
  <c r="H24" i="1"/>
  <c r="F21" i="1" l="1"/>
  <c r="F17" i="1"/>
  <c r="F13" i="1"/>
  <c r="F9" i="1"/>
  <c r="F5" i="1"/>
  <c r="G21" i="1"/>
  <c r="G17" i="1"/>
  <c r="G13" i="1"/>
  <c r="G9" i="1"/>
  <c r="G5" i="1"/>
  <c r="D3" i="6" l="1"/>
  <c r="D17" i="6" l="1"/>
  <c r="J17" i="1"/>
  <c r="J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db" type="1" refreshedVersion="8" background="1" saveData="1">
    <dbPr connection="DSN=DB;UID=USER;;DBQ=BD;DBA=W;APA=T;EXC=F;FEN=T;QTO=T;FRC=10;FDL=10;LOB=T;RST=T;BTD=F;BNF=F;BAM=IfAllSuccessful;NUM=NLS;DPM=F;MTS=T;MDI=F;CSR=F;FWC=F;FBS=64000;TLO=O;MLD=0;ODA=F;" command="SELECT FECHA, ((SUM(ERL4G)*60)/1000000)&quot;4G&quot;, ((SUM(ERL3G)*60)/1000000)&quot;3G&quot;, ((SUM(ERL2G)*60)/1000000)&quot;2G&quot;_x000d__x000a_FROM DATA.DTT_TRAFF_NET_x000d__x000a_WHERE FECHA &gt;= ?_x000d__x000a_GROUP BY FECHA_x000d__x000a_ORDER BY FECHA;"/>
    <parameters count="1">
      <parameter name="Parámetro1"/>
    </parameters>
  </connection>
  <connection id="2" xr16:uid="{00000000-0015-0000-FFFF-FFFF03000000}" name="Consulta desde DB2" type="1" refreshedVersion="8" savePassword="1" background="1" saveData="1">
    <dbPr connection="DSN=DB;UID=DB1;PWD=USER;DBQ=PASS;DBA=W;APA=T;EXC=F;FEN=T;QTO=T;FRC=10;FDL=10;LOB=T;RST=T;BTD=F;BNF=F;BAM=IfAllSuccessful;NUM=NLS;DPM=F;MTS=T;MDI=F;CSR=F;FWC=F;FBS=64000;TLO=O;MLD=0;ODA=F;" command="SELECT FECHA, SUM(BYTES)/1024/1024/1024/1024 TB_OTT1_x000d__x000a_FROM DB.DTT_DPI_PROTOCOLOS_TD_x000d__x000a_WHERE FECHA &gt;= ?_x000d__x000a_AND UPPER(PROTOCOLO) like '%OTT1%'_x000d__x000a_GROUP BY FECHA_x000d__x000a_ORDER BY FECHA"/>
    <parameters count="1">
      <parameter name="Parámetro1"/>
    </parameters>
  </connection>
</connections>
</file>

<file path=xl/sharedStrings.xml><?xml version="1.0" encoding="utf-8"?>
<sst xmlns="http://schemas.openxmlformats.org/spreadsheetml/2006/main" count="91" uniqueCount="58">
  <si>
    <t>FECHA</t>
  </si>
  <si>
    <t>%4G</t>
  </si>
  <si>
    <t>%3G</t>
  </si>
  <si>
    <t>%2G</t>
  </si>
  <si>
    <t xml:space="preserve"> </t>
  </si>
  <si>
    <t>4G</t>
  </si>
  <si>
    <t>3G</t>
  </si>
  <si>
    <t>2G</t>
  </si>
  <si>
    <t>CC</t>
  </si>
  <si>
    <t>Subject</t>
  </si>
  <si>
    <t>y</t>
  </si>
  <si>
    <t>manager@company.com</t>
  </si>
  <si>
    <t>statistics@company.com; boss@company.com</t>
  </si>
  <si>
    <t>+ 15%</t>
  </si>
  <si>
    <t>+ 10%</t>
  </si>
  <si>
    <t>+ 13%</t>
  </si>
  <si>
    <t>+ 63%</t>
  </si>
  <si>
    <t>Dear all,</t>
  </si>
  <si>
    <t>Attached is statistical tracking of cellular traffic and international internet access.</t>
  </si>
  <si>
    <t>In the daily summary, yesterday's traffic (Sunday), compared to the Sunday of one week ago, and to Sunday, April 16, 202X, was:</t>
  </si>
  <si>
    <t>Manager</t>
  </si>
  <si>
    <t>The traffic for the last week vs. the second-to-last week, and for the first week of March 2020, was:</t>
  </si>
  <si>
    <t xml:space="preserve">  Internet connection:</t>
  </si>
  <si>
    <t xml:space="preserve">  Cellular data:</t>
  </si>
  <si>
    <t xml:space="preserve">  Cellular voice:</t>
  </si>
  <si>
    <t>4/15/202X</t>
  </si>
  <si>
    <t>4/16/202X</t>
  </si>
  <si>
    <t>4/17/202X</t>
  </si>
  <si>
    <t>4/18/202X</t>
  </si>
  <si>
    <t>4/19/202X</t>
  </si>
  <si>
    <t>4/20/202X</t>
  </si>
  <si>
    <t>4/21/202X</t>
  </si>
  <si>
    <t>4/22/202X</t>
  </si>
  <si>
    <t>4/2X/202X</t>
  </si>
  <si>
    <t>4/24/202X</t>
  </si>
  <si>
    <t>4/25/202X</t>
  </si>
  <si>
    <t>4/26/202X</t>
  </si>
  <si>
    <t>4/27/202X</t>
  </si>
  <si>
    <t>4/28/202X</t>
  </si>
  <si>
    <t>4/29/202X</t>
  </si>
  <si>
    <t>4/30/202X</t>
  </si>
  <si>
    <t>5/1/202X</t>
  </si>
  <si>
    <t>5/2/202X</t>
  </si>
  <si>
    <t>5/3/202X</t>
  </si>
  <si>
    <t>5/4/202X</t>
  </si>
  <si>
    <t>5/5/202X</t>
  </si>
  <si>
    <t>5/6/202X</t>
  </si>
  <si>
    <t>5/7/202X</t>
  </si>
  <si>
    <t>Greetings,</t>
  </si>
  <si>
    <t>+ 1%</t>
  </si>
  <si>
    <t>+ 5%</t>
  </si>
  <si>
    <t>0 %</t>
  </si>
  <si>
    <t>+ 8 %</t>
  </si>
  <si>
    <t>- 2%</t>
  </si>
  <si>
    <t>- 7%</t>
  </si>
  <si>
    <t>+ 3 %</t>
  </si>
  <si>
    <t>TO</t>
  </si>
  <si>
    <t>TB_OTT1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</si>
</sst>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rgb="FF003245"/>
      <name val="Calibri (Cuerpo)"/>
    </font>
    <font>
      <sz val="9"/>
      <color rgb="FF003245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2" fontId="0" fillId="0" borderId="0" xfId="0" applyNumberFormat="1"/>
    <xf numFmtId="1" fontId="0" fillId="0" borderId="0" xfId="0" applyNumberFormat="1"/>
    <xf numFmtId="9" fontId="0" fillId="0" borderId="0" xfId="1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9" fontId="0" fillId="0" borderId="0" xfId="0" applyNumberFormat="1"/>
    <xf numFmtId="0" fontId="2" fillId="0" borderId="0" xfId="2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5" fontId="0" fillId="0" borderId="0" xfId="0" applyNumberFormat="1"/>
    <xf numFmtId="15" fontId="0" fillId="0" borderId="0" xfId="0" applyNumberFormat="1" applyAlignment="1">
      <alignment horizontal="right"/>
    </xf>
    <xf numFmtId="9" fontId="0" fillId="0" borderId="1" xfId="0" quotePrefix="1" applyNumberFormat="1" applyBorder="1" applyAlignment="1">
      <alignment horizontal="center"/>
    </xf>
    <xf numFmtId="9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</cellXfs>
  <cellStyles count="3">
    <cellStyle name="Hyperlink" xfId="2" builtinId="8"/>
    <cellStyle name="Normal" xfId="0" builtinId="0"/>
    <cellStyle name="Percent" xfId="1" builtinId="5"/>
  </cellStyles>
  <dxfs count="10">
    <dxf>
      <numFmt numFmtId="1" formatCode="0"/>
    </dxf>
    <dxf>
      <numFmt numFmtId="167" formatCode="dd\-mmm\-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dd\-mmm\-yy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2630B6"/>
      <color rgb="FF003245"/>
      <color rgb="FF7030A0"/>
      <color rgb="FFFE2C55"/>
      <color rgb="FF0070C0"/>
      <color rgb="FFA6D88A"/>
      <color rgb="FF2694B6"/>
      <color rgb="FFFF0000"/>
      <color rgb="FF00B050"/>
      <color rgb="FF2038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23" Type="http://schemas.microsoft.com/office/2017/10/relationships/person" Target="persons/person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elefonica Headline Light" panose="02000506040000020004" pitchFamily="50" charset="0"/>
                <a:ea typeface="+mn-ea"/>
                <a:cs typeface="+mn-cs"/>
              </a:defRPr>
            </a:pPr>
            <a:r>
              <a:rPr lang="es-EC" sz="2000">
                <a:latin typeface="Telefonica Headline Light" panose="02000506040000020004" pitchFamily="50" charset="0"/>
              </a:rPr>
              <a:t>Traffic (Millions of minutes)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elefonica Headline Light" panose="02000506040000020004" pitchFamily="50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'Daily voice traffic'!$D$1</c:f>
              <c:strCache>
                <c:ptCount val="1"/>
                <c:pt idx="0">
                  <c:v>2G</c:v>
                </c:pt>
              </c:strCache>
            </c:strRef>
          </c:tx>
          <c:spPr>
            <a:solidFill>
              <a:srgbClr val="00C6DA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7BFF329-F0CB-41F4-8F0C-2170541E15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DDA0-4E7E-8DD5-CCE7751EB3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BECE62-7E55-43C3-A2D7-3FE61AA381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A0-4E7E-8DD5-CCE7751EB3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46E305-6D2A-4C81-8326-5744F6DC9B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A0-4E7E-8DD5-CCE7751EB3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5BB14E-15B1-407D-9FCF-B8EAA9191F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A0-4E7E-8DD5-CCE7751EB3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CF180D-454B-4C4D-8510-BD3F8145AA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A0-4E7E-8DD5-CCE7751EB3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5CE8E3-6B3C-4956-A491-95E0DD4CAE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A0-4E7E-8DD5-CCE7751EB3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081758-8CA7-4A2A-9183-30C1B17CD4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A0-4E7E-8DD5-CCE7751EB3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48E91D-F361-4DF6-875A-66B11FA1C5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A0-4E7E-8DD5-CCE7751EB3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3F1B51-A14C-431F-849C-69F36FD03F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A0-4E7E-8DD5-CCE7751EB3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D6EEF1-9807-485A-B180-71B8D48C0B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A0-4E7E-8DD5-CCE7751EB3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9837E8-BCA5-4AEE-9B61-E9ADAA11CA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A0-4E7E-8DD5-CCE7751EB3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7FA2B2-0E56-4450-BFA8-AEDDEE4C13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A0-4E7E-8DD5-CCE7751EB3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1FD273-71B7-4B45-907C-D2D83C7DF6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A0-4E7E-8DD5-CCE7751EB3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8FE6AD-E818-47C8-9B0A-C2EE5FB5EE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A0-4E7E-8DD5-CCE7751EB3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680025-C8EC-4A78-A785-8C5DF5A9CF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A0-4E7E-8DD5-CCE7751EB3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6CD052-8B96-41D2-95D7-ADE3B8AE8C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A0-4E7E-8DD5-CCE7751EB3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10DC10-C347-4DA3-B1A0-33FD35BDC9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A0-4E7E-8DD5-CCE7751EB3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648253-33E0-4D85-BED4-08069A90B2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A0-4E7E-8DD5-CCE7751EB3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2132B4-C783-449B-B913-2A4D3C313A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A0-4E7E-8DD5-CCE7751EB3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4B74D5-F290-49DD-ADAF-A27FB05F37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A0-4E7E-8DD5-CCE7751EB3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4E819E-3FB6-448E-9C50-6D83A77887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A0-4E7E-8DD5-CCE7751EB3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61B6BB-55FF-4C3C-9EBD-DAA6A94633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A0-4E7E-8DD5-CCE7751EB3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6CCF9C-570B-4221-B7D5-3BCDFD0EFC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A0-4E7E-8DD5-CCE7751EB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Telefonica Headline Light" panose="02000506040000020004" pitchFamily="50" charset="0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'Daily voice traffic'!$A$2:$A$24</c:f>
              <c:strCache>
                <c:ptCount val="23"/>
                <c:pt idx="0">
                  <c:v>4/15/202X</c:v>
                </c:pt>
                <c:pt idx="1">
                  <c:v>4/16/202X</c:v>
                </c:pt>
                <c:pt idx="2">
                  <c:v>4/17/202X</c:v>
                </c:pt>
                <c:pt idx="3">
                  <c:v>4/18/202X</c:v>
                </c:pt>
                <c:pt idx="4">
                  <c:v>4/19/202X</c:v>
                </c:pt>
                <c:pt idx="5">
                  <c:v>4/20/202X</c:v>
                </c:pt>
                <c:pt idx="6">
                  <c:v>4/21/202X</c:v>
                </c:pt>
                <c:pt idx="7">
                  <c:v>4/22/202X</c:v>
                </c:pt>
                <c:pt idx="8">
                  <c:v>4/2X/202X</c:v>
                </c:pt>
                <c:pt idx="9">
                  <c:v>4/24/202X</c:v>
                </c:pt>
                <c:pt idx="10">
                  <c:v>4/25/202X</c:v>
                </c:pt>
                <c:pt idx="11">
                  <c:v>4/26/202X</c:v>
                </c:pt>
                <c:pt idx="12">
                  <c:v>4/27/202X</c:v>
                </c:pt>
                <c:pt idx="13">
                  <c:v>4/28/202X</c:v>
                </c:pt>
                <c:pt idx="14">
                  <c:v>4/29/202X</c:v>
                </c:pt>
                <c:pt idx="15">
                  <c:v>4/30/202X</c:v>
                </c:pt>
                <c:pt idx="16">
                  <c:v>5/1/202X</c:v>
                </c:pt>
                <c:pt idx="17">
                  <c:v>5/2/202X</c:v>
                </c:pt>
                <c:pt idx="18">
                  <c:v>5/3/202X</c:v>
                </c:pt>
                <c:pt idx="19">
                  <c:v>5/4/202X</c:v>
                </c:pt>
                <c:pt idx="20">
                  <c:v>5/5/202X</c:v>
                </c:pt>
                <c:pt idx="21">
                  <c:v>5/6/202X</c:v>
                </c:pt>
                <c:pt idx="22">
                  <c:v>5/7/202X</c:v>
                </c:pt>
              </c:strCache>
            </c:strRef>
          </c:cat>
          <c:val>
            <c:numRef>
              <c:f>'Daily voice traffic'!$D$2:$D$24</c:f>
              <c:numCache>
                <c:formatCode>0</c:formatCode>
                <c:ptCount val="23"/>
                <c:pt idx="0">
                  <c:v>1.4782658580000001</c:v>
                </c:pt>
                <c:pt idx="1">
                  <c:v>1.251090432</c:v>
                </c:pt>
                <c:pt idx="2">
                  <c:v>1.812750318</c:v>
                </c:pt>
                <c:pt idx="3">
                  <c:v>1.79558226</c:v>
                </c:pt>
                <c:pt idx="4">
                  <c:v>1.7708494859999999</c:v>
                </c:pt>
                <c:pt idx="5">
                  <c:v>1.7833019640000001</c:v>
                </c:pt>
                <c:pt idx="6">
                  <c:v>1.82301735</c:v>
                </c:pt>
                <c:pt idx="7">
                  <c:v>1.4961933119999999</c:v>
                </c:pt>
                <c:pt idx="8">
                  <c:v>1.2630240479999999</c:v>
                </c:pt>
                <c:pt idx="9">
                  <c:v>1.79788284</c:v>
                </c:pt>
                <c:pt idx="10">
                  <c:v>1.8040437119999999</c:v>
                </c:pt>
                <c:pt idx="11">
                  <c:v>1.771918686</c:v>
                </c:pt>
                <c:pt idx="12">
                  <c:v>1.7546050980000001</c:v>
                </c:pt>
                <c:pt idx="13">
                  <c:v>1.816738212</c:v>
                </c:pt>
                <c:pt idx="14">
                  <c:v>1.524734346</c:v>
                </c:pt>
                <c:pt idx="15">
                  <c:v>1.265453706</c:v>
                </c:pt>
                <c:pt idx="16">
                  <c:v>1.3091591220000001</c:v>
                </c:pt>
                <c:pt idx="17">
                  <c:v>1.70557362</c:v>
                </c:pt>
                <c:pt idx="18">
                  <c:v>1.7321879579999999</c:v>
                </c:pt>
                <c:pt idx="19">
                  <c:v>1.706560326</c:v>
                </c:pt>
                <c:pt idx="20">
                  <c:v>1.7807477519999999</c:v>
                </c:pt>
                <c:pt idx="21">
                  <c:v>1.45358151</c:v>
                </c:pt>
                <c:pt idx="22">
                  <c:v>1.21940838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'Daily voice traffic'!$H$2:$H$24</c15:f>
                <c15:dlblRangeCache>
                  <c:ptCount val="23"/>
                  <c:pt idx="0">
                    <c:v>6%</c:v>
                  </c:pt>
                  <c:pt idx="1">
                    <c:v>6%</c:v>
                  </c:pt>
                  <c:pt idx="2">
                    <c:v>5%</c:v>
                  </c:pt>
                  <c:pt idx="3">
                    <c:v>5%</c:v>
                  </c:pt>
                  <c:pt idx="4">
                    <c:v>5%</c:v>
                  </c:pt>
                  <c:pt idx="5">
                    <c:v>5%</c:v>
                  </c:pt>
                  <c:pt idx="6">
                    <c:v>5%</c:v>
                  </c:pt>
                  <c:pt idx="7">
                    <c:v>6%</c:v>
                  </c:pt>
                  <c:pt idx="8">
                    <c:v>6%</c:v>
                  </c:pt>
                  <c:pt idx="9">
                    <c:v>5%</c:v>
                  </c:pt>
                  <c:pt idx="10">
                    <c:v>5%</c:v>
                  </c:pt>
                  <c:pt idx="11">
                    <c:v>5%</c:v>
                  </c:pt>
                  <c:pt idx="12">
                    <c:v>5%</c:v>
                  </c:pt>
                  <c:pt idx="13">
                    <c:v>5%</c:v>
                  </c:pt>
                  <c:pt idx="14">
                    <c:v>6%</c:v>
                  </c:pt>
                  <c:pt idx="15">
                    <c:v>6%</c:v>
                  </c:pt>
                  <c:pt idx="16">
                    <c:v>6%</c:v>
                  </c:pt>
                  <c:pt idx="17">
                    <c:v>5%</c:v>
                  </c:pt>
                  <c:pt idx="18">
                    <c:v>5%</c:v>
                  </c:pt>
                  <c:pt idx="19">
                    <c:v>5%</c:v>
                  </c:pt>
                  <c:pt idx="20">
                    <c:v>5%</c:v>
                  </c:pt>
                  <c:pt idx="21">
                    <c:v>5%</c:v>
                  </c:pt>
                  <c:pt idx="22">
                    <c:v>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DDA0-4E7E-8DD5-CCE7751EB3BA}"/>
            </c:ext>
          </c:extLst>
        </c:ser>
        <c:ser>
          <c:idx val="1"/>
          <c:order val="1"/>
          <c:tx>
            <c:strRef>
              <c:f>'Daily voice traffic'!$C$1</c:f>
              <c:strCache>
                <c:ptCount val="1"/>
                <c:pt idx="0">
                  <c:v>3G</c:v>
                </c:pt>
              </c:strCache>
            </c:strRef>
          </c:tx>
          <c:spPr>
            <a:solidFill>
              <a:srgbClr val="00324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0F02BD2-7888-4549-884C-C043A30574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DDA0-4E7E-8DD5-CCE7751EB3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0F4787-B285-4B7F-8903-33E23A805F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A0-4E7E-8DD5-CCE7751EB3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794692-8ED7-4562-A2E5-3607073589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A0-4E7E-8DD5-CCE7751EB3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CC2111-F8A8-4180-A6B7-BC4F0163CF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A0-4E7E-8DD5-CCE7751EB3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D17B16-2B04-44F3-A65F-36C7D3BFC5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A0-4E7E-8DD5-CCE7751EB3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8CC1A3-E439-4615-8DF4-1C8E9800C4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A0-4E7E-8DD5-CCE7751EB3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A96CDC-6851-42DA-9399-E3AB953404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A0-4E7E-8DD5-CCE7751EB3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8EB88-BC6E-4B77-BBE9-72E95668A3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A0-4E7E-8DD5-CCE7751EB3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C34582-E521-441E-A879-7F674C447F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A0-4E7E-8DD5-CCE7751EB3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AD5D90-9042-464B-9F30-9997FE2CAE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A0-4E7E-8DD5-CCE7751EB3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83D4BF-D0B3-4C68-A6A8-90087097AE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A0-4E7E-8DD5-CCE7751EB3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2166E4-2491-460C-975D-DDA2DB84A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A0-4E7E-8DD5-CCE7751EB3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3EF01D-F127-4D6B-9A32-74FB4F3A5E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A0-4E7E-8DD5-CCE7751EB3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DE8186-5267-42B8-95AE-76F017BE4D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A0-4E7E-8DD5-CCE7751EB3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8940C8-7724-40BE-BF9D-5F7FE9A1F0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A0-4E7E-8DD5-CCE7751EB3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5CD624-D5C2-432C-A730-E789EFEDCB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A0-4E7E-8DD5-CCE7751EB3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775C88-1D78-4F3B-94D4-CCF24A0F90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A0-4E7E-8DD5-CCE7751EB3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9D5078-F4A0-4DE3-A99E-89D609CA08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A0-4E7E-8DD5-CCE7751EB3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BE119A-98BD-4F48-A5AD-A900473529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A0-4E7E-8DD5-CCE7751EB3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3618B4-E6D4-4C11-B252-6C37677627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A0-4E7E-8DD5-CCE7751EB3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401FEF-638B-455D-A1A6-A424E1D140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A0-4E7E-8DD5-CCE7751EB3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4017326-A221-462F-AE1A-DF9873870E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A0-4E7E-8DD5-CCE7751EB3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4E5956-7EFD-4D09-85C6-8277AAEB33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A0-4E7E-8DD5-CCE7751EB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Telefonica Headline Light" panose="02000506040000020004" pitchFamily="50" charset="0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'Daily voice traffic'!$A$2:$A$24</c:f>
              <c:strCache>
                <c:ptCount val="23"/>
                <c:pt idx="0">
                  <c:v>4/15/202X</c:v>
                </c:pt>
                <c:pt idx="1">
                  <c:v>4/16/202X</c:v>
                </c:pt>
                <c:pt idx="2">
                  <c:v>4/17/202X</c:v>
                </c:pt>
                <c:pt idx="3">
                  <c:v>4/18/202X</c:v>
                </c:pt>
                <c:pt idx="4">
                  <c:v>4/19/202X</c:v>
                </c:pt>
                <c:pt idx="5">
                  <c:v>4/20/202X</c:v>
                </c:pt>
                <c:pt idx="6">
                  <c:v>4/21/202X</c:v>
                </c:pt>
                <c:pt idx="7">
                  <c:v>4/22/202X</c:v>
                </c:pt>
                <c:pt idx="8">
                  <c:v>4/2X/202X</c:v>
                </c:pt>
                <c:pt idx="9">
                  <c:v>4/24/202X</c:v>
                </c:pt>
                <c:pt idx="10">
                  <c:v>4/25/202X</c:v>
                </c:pt>
                <c:pt idx="11">
                  <c:v>4/26/202X</c:v>
                </c:pt>
                <c:pt idx="12">
                  <c:v>4/27/202X</c:v>
                </c:pt>
                <c:pt idx="13">
                  <c:v>4/28/202X</c:v>
                </c:pt>
                <c:pt idx="14">
                  <c:v>4/29/202X</c:v>
                </c:pt>
                <c:pt idx="15">
                  <c:v>4/30/202X</c:v>
                </c:pt>
                <c:pt idx="16">
                  <c:v>5/1/202X</c:v>
                </c:pt>
                <c:pt idx="17">
                  <c:v>5/2/202X</c:v>
                </c:pt>
                <c:pt idx="18">
                  <c:v>5/3/202X</c:v>
                </c:pt>
                <c:pt idx="19">
                  <c:v>5/4/202X</c:v>
                </c:pt>
                <c:pt idx="20">
                  <c:v>5/5/202X</c:v>
                </c:pt>
                <c:pt idx="21">
                  <c:v>5/6/202X</c:v>
                </c:pt>
                <c:pt idx="22">
                  <c:v>5/7/202X</c:v>
                </c:pt>
              </c:strCache>
            </c:strRef>
          </c:cat>
          <c:val>
            <c:numRef>
              <c:f>'Daily voice traffic'!$C$2:$C$24</c:f>
              <c:numCache>
                <c:formatCode>0</c:formatCode>
                <c:ptCount val="23"/>
                <c:pt idx="0">
                  <c:v>20.632185767999999</c:v>
                </c:pt>
                <c:pt idx="1">
                  <c:v>16.646174202000001</c:v>
                </c:pt>
                <c:pt idx="2">
                  <c:v>25.895241612</c:v>
                </c:pt>
                <c:pt idx="3">
                  <c:v>25.599084821999998</c:v>
                </c:pt>
                <c:pt idx="4">
                  <c:v>25.748129609999999</c:v>
                </c:pt>
                <c:pt idx="5">
                  <c:v>25.432363727999999</c:v>
                </c:pt>
                <c:pt idx="6">
                  <c:v>25.792676466</c:v>
                </c:pt>
                <c:pt idx="7">
                  <c:v>20.411891189999999</c:v>
                </c:pt>
                <c:pt idx="8">
                  <c:v>16.313340522000001</c:v>
                </c:pt>
                <c:pt idx="9">
                  <c:v>25.922599787999999</c:v>
                </c:pt>
                <c:pt idx="10">
                  <c:v>25.639068072000001</c:v>
                </c:pt>
                <c:pt idx="11">
                  <c:v>24.554124498</c:v>
                </c:pt>
                <c:pt idx="12">
                  <c:v>25.732873518000002</c:v>
                </c:pt>
                <c:pt idx="13">
                  <c:v>26.199699150000001</c:v>
                </c:pt>
                <c:pt idx="14">
                  <c:v>20.76097377</c:v>
                </c:pt>
                <c:pt idx="15">
                  <c:v>16.124580527999999</c:v>
                </c:pt>
                <c:pt idx="16">
                  <c:v>18.057319536000001</c:v>
                </c:pt>
                <c:pt idx="17">
                  <c:v>25.780152090000001</c:v>
                </c:pt>
                <c:pt idx="18">
                  <c:v>25.670850953999999</c:v>
                </c:pt>
                <c:pt idx="19">
                  <c:v>25.791975881999999</c:v>
                </c:pt>
                <c:pt idx="20">
                  <c:v>26.258630208</c:v>
                </c:pt>
                <c:pt idx="21">
                  <c:v>20.645391474</c:v>
                </c:pt>
                <c:pt idx="22">
                  <c:v>16.609265376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'Daily voice traffic'!$G$2:$G$24</c15:f>
                <c15:dlblRangeCache>
                  <c:ptCount val="23"/>
                  <c:pt idx="0">
                    <c:v>77%</c:v>
                  </c:pt>
                  <c:pt idx="1">
                    <c:v>78%</c:v>
                  </c:pt>
                  <c:pt idx="2">
                    <c:v>74%</c:v>
                  </c:pt>
                  <c:pt idx="3">
                    <c:v>73%</c:v>
                  </c:pt>
                  <c:pt idx="4">
                    <c:v>73%</c:v>
                  </c:pt>
                  <c:pt idx="5">
                    <c:v>73%</c:v>
                  </c:pt>
                  <c:pt idx="6">
                    <c:v>73%</c:v>
                  </c:pt>
                  <c:pt idx="7">
                    <c:v>77%</c:v>
                  </c:pt>
                  <c:pt idx="8">
                    <c:v>78%</c:v>
                  </c:pt>
                  <c:pt idx="9">
                    <c:v>74%</c:v>
                  </c:pt>
                  <c:pt idx="10">
                    <c:v>73%</c:v>
                  </c:pt>
                  <c:pt idx="11">
                    <c:v>72%</c:v>
                  </c:pt>
                  <c:pt idx="12">
                    <c:v>73%</c:v>
                  </c:pt>
                  <c:pt idx="13">
                    <c:v>74%</c:v>
                  </c:pt>
                  <c:pt idx="14">
                    <c:v>77%</c:v>
                  </c:pt>
                  <c:pt idx="15">
                    <c:v>78%</c:v>
                  </c:pt>
                  <c:pt idx="16">
                    <c:v>77%</c:v>
                  </c:pt>
                  <c:pt idx="17">
                    <c:v>74%</c:v>
                  </c:pt>
                  <c:pt idx="18">
                    <c:v>73%</c:v>
                  </c:pt>
                  <c:pt idx="19">
                    <c:v>73%</c:v>
                  </c:pt>
                  <c:pt idx="20">
                    <c:v>73%</c:v>
                  </c:pt>
                  <c:pt idx="21">
                    <c:v>77%</c:v>
                  </c:pt>
                  <c:pt idx="22">
                    <c:v>78%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DDA0-4E7E-8DD5-CCE7751EB3BA}"/>
            </c:ext>
          </c:extLst>
        </c:ser>
        <c:ser>
          <c:idx val="0"/>
          <c:order val="2"/>
          <c:tx>
            <c:strRef>
              <c:f>'Daily voice traffic'!$B$1</c:f>
              <c:strCache>
                <c:ptCount val="1"/>
                <c:pt idx="0">
                  <c:v>4G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8C379AB-0E26-4772-B474-BE39F7E24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A0-4E7E-8DD5-CCE7751EB3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E1D32B-E262-459E-920D-0E1CDE60D3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A0-4E7E-8DD5-CCE7751EB3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1C1376-6564-4F35-AAC6-D5D2A71319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A0-4E7E-8DD5-CCE7751EB3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7E32C0-81FB-47DD-804D-650EE4E184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A0-4E7E-8DD5-CCE7751EB3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26F653-2A25-458E-B990-437A67B3E5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A0-4E7E-8DD5-CCE7751EB3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E8729B-80C9-40CE-BAE3-60A3C58459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A0-4E7E-8DD5-CCE7751EB3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2C6C69-93E3-4605-BFE5-9A982A2D04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A0-4E7E-8DD5-CCE7751EB3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FD57AF-D236-4A31-9DF2-7376BC0E56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A0-4E7E-8DD5-CCE7751EB3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EFC4DF-69EE-4973-8EC7-2C4E7F30C2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A0-4E7E-8DD5-CCE7751EB3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A44F0A-3BB0-40CD-AF49-AC6A8E6B25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A0-4E7E-8DD5-CCE7751EB3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FBDF0A-904C-4E17-94BA-22FCD73051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A0-4E7E-8DD5-CCE7751EB3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EBA305-D776-4D03-90AA-461AF89C93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A0-4E7E-8DD5-CCE7751EB3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FD2352-BD0F-491C-9121-7EC4846922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A0-4E7E-8DD5-CCE7751EB3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3E983F-42BA-47B7-AAF6-8F5521CD07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A0-4E7E-8DD5-CCE7751EB3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7876BB-530C-4519-A36E-0070102BE2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A0-4E7E-8DD5-CCE7751EB3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5145B5-9C03-41F8-A3E9-AA9A214A98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A0-4E7E-8DD5-CCE7751EB3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F0D1D1-7FD8-4382-95F7-6E7C91064D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A0-4E7E-8DD5-CCE7751EB3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555A9D-350C-483E-8D1D-100777998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A0-4E7E-8DD5-CCE7751EB3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290ACE-EFDB-45D1-B824-5F271340C9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A0-4E7E-8DD5-CCE7751EB3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A117C0-65CE-459B-97BB-00F7D63B73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A0-4E7E-8DD5-CCE7751EB3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05311A-3C02-4A1F-BB29-1F008E5C31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A0-4E7E-8DD5-CCE7751EB3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CD3D6E-EFD5-4C13-B3C8-FAC6544E7A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A0-4E7E-8DD5-CCE7751EB3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7B8E2B-34A9-428E-BACD-CF1C6F26D1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A0-4E7E-8DD5-CCE7751EB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Telefonica Headline Light" panose="02000506040000020004" pitchFamily="50" charset="0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'Daily voice traffic'!$A$2:$A$24</c:f>
              <c:strCache>
                <c:ptCount val="23"/>
                <c:pt idx="0">
                  <c:v>4/15/202X</c:v>
                </c:pt>
                <c:pt idx="1">
                  <c:v>4/16/202X</c:v>
                </c:pt>
                <c:pt idx="2">
                  <c:v>4/17/202X</c:v>
                </c:pt>
                <c:pt idx="3">
                  <c:v>4/18/202X</c:v>
                </c:pt>
                <c:pt idx="4">
                  <c:v>4/19/202X</c:v>
                </c:pt>
                <c:pt idx="5">
                  <c:v>4/20/202X</c:v>
                </c:pt>
                <c:pt idx="6">
                  <c:v>4/21/202X</c:v>
                </c:pt>
                <c:pt idx="7">
                  <c:v>4/22/202X</c:v>
                </c:pt>
                <c:pt idx="8">
                  <c:v>4/2X/202X</c:v>
                </c:pt>
                <c:pt idx="9">
                  <c:v>4/24/202X</c:v>
                </c:pt>
                <c:pt idx="10">
                  <c:v>4/25/202X</c:v>
                </c:pt>
                <c:pt idx="11">
                  <c:v>4/26/202X</c:v>
                </c:pt>
                <c:pt idx="12">
                  <c:v>4/27/202X</c:v>
                </c:pt>
                <c:pt idx="13">
                  <c:v>4/28/202X</c:v>
                </c:pt>
                <c:pt idx="14">
                  <c:v>4/29/202X</c:v>
                </c:pt>
                <c:pt idx="15">
                  <c:v>4/30/202X</c:v>
                </c:pt>
                <c:pt idx="16">
                  <c:v>5/1/202X</c:v>
                </c:pt>
                <c:pt idx="17">
                  <c:v>5/2/202X</c:v>
                </c:pt>
                <c:pt idx="18">
                  <c:v>5/3/202X</c:v>
                </c:pt>
                <c:pt idx="19">
                  <c:v>5/4/202X</c:v>
                </c:pt>
                <c:pt idx="20">
                  <c:v>5/5/202X</c:v>
                </c:pt>
                <c:pt idx="21">
                  <c:v>5/6/202X</c:v>
                </c:pt>
                <c:pt idx="22">
                  <c:v>5/7/202X</c:v>
                </c:pt>
              </c:strCache>
            </c:strRef>
          </c:cat>
          <c:val>
            <c:numRef>
              <c:f>'Daily voice traffic'!$B$2:$B$24</c:f>
              <c:numCache>
                <c:formatCode>0</c:formatCode>
                <c:ptCount val="23"/>
                <c:pt idx="0">
                  <c:v>4.7407065133333335</c:v>
                </c:pt>
                <c:pt idx="1">
                  <c:v>3.4848074250000001</c:v>
                </c:pt>
                <c:pt idx="2">
                  <c:v>7.5236104983333334</c:v>
                </c:pt>
                <c:pt idx="3">
                  <c:v>7.5773114083333333</c:v>
                </c:pt>
                <c:pt idx="4">
                  <c:v>7.6270427933333336</c:v>
                </c:pt>
                <c:pt idx="5">
                  <c:v>7.533305828333333</c:v>
                </c:pt>
                <c:pt idx="6">
                  <c:v>7.5036072300000001</c:v>
                </c:pt>
                <c:pt idx="7">
                  <c:v>4.7051448133333329</c:v>
                </c:pt>
                <c:pt idx="8">
                  <c:v>3.4288389850000001</c:v>
                </c:pt>
                <c:pt idx="9">
                  <c:v>7.5045807949999999</c:v>
                </c:pt>
                <c:pt idx="10">
                  <c:v>7.6240233799999997</c:v>
                </c:pt>
                <c:pt idx="11">
                  <c:v>7.5839119249999998</c:v>
                </c:pt>
                <c:pt idx="12">
                  <c:v>7.646265783333333</c:v>
                </c:pt>
                <c:pt idx="13">
                  <c:v>7.6095034699999999</c:v>
                </c:pt>
                <c:pt idx="14">
                  <c:v>4.7199772266666669</c:v>
                </c:pt>
                <c:pt idx="15">
                  <c:v>3.3160803049999998</c:v>
                </c:pt>
                <c:pt idx="16">
                  <c:v>3.9392310716666668</c:v>
                </c:pt>
                <c:pt idx="17">
                  <c:v>7.578574061666667</c:v>
                </c:pt>
                <c:pt idx="18">
                  <c:v>7.7067719266666668</c:v>
                </c:pt>
                <c:pt idx="19">
                  <c:v>7.7425619116666669</c:v>
                </c:pt>
                <c:pt idx="20">
                  <c:v>7.7205760283333333</c:v>
                </c:pt>
                <c:pt idx="21">
                  <c:v>4.7750740166666663</c:v>
                </c:pt>
                <c:pt idx="22">
                  <c:v>3.5353477383333334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'Daily voice traffic'!$F$2:$F$24</c15:f>
                <c15:dlblRangeCache>
                  <c:ptCount val="23"/>
                  <c:pt idx="0">
                    <c:v>18%</c:v>
                  </c:pt>
                  <c:pt idx="1">
                    <c:v>16%</c:v>
                  </c:pt>
                  <c:pt idx="2">
                    <c:v>21%</c:v>
                  </c:pt>
                  <c:pt idx="3">
                    <c:v>22%</c:v>
                  </c:pt>
                  <c:pt idx="4">
                    <c:v>22%</c:v>
                  </c:pt>
                  <c:pt idx="5">
                    <c:v>22%</c:v>
                  </c:pt>
                  <c:pt idx="6">
                    <c:v>21%</c:v>
                  </c:pt>
                  <c:pt idx="7">
                    <c:v>18%</c:v>
                  </c:pt>
                  <c:pt idx="8">
                    <c:v>16%</c:v>
                  </c:pt>
                  <c:pt idx="9">
                    <c:v>21%</c:v>
                  </c:pt>
                  <c:pt idx="10">
                    <c:v>22%</c:v>
                  </c:pt>
                  <c:pt idx="11">
                    <c:v>22%</c:v>
                  </c:pt>
                  <c:pt idx="12">
                    <c:v>22%</c:v>
                  </c:pt>
                  <c:pt idx="13">
                    <c:v>21%</c:v>
                  </c:pt>
                  <c:pt idx="14">
                    <c:v>17%</c:v>
                  </c:pt>
                  <c:pt idx="15">
                    <c:v>16%</c:v>
                  </c:pt>
                  <c:pt idx="16">
                    <c:v>17%</c:v>
                  </c:pt>
                  <c:pt idx="17">
                    <c:v>22%</c:v>
                  </c:pt>
                  <c:pt idx="18">
                    <c:v>22%</c:v>
                  </c:pt>
                  <c:pt idx="19">
                    <c:v>22%</c:v>
                  </c:pt>
                  <c:pt idx="20">
                    <c:v>22%</c:v>
                  </c:pt>
                  <c:pt idx="21">
                    <c:v>18%</c:v>
                  </c:pt>
                  <c:pt idx="22">
                    <c:v>17%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A0-4E7E-8DD5-CCE7751EB3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5"/>
        <c:overlap val="100"/>
        <c:axId val="2018832304"/>
        <c:axId val="2018826896"/>
      </c:barChart>
      <c:lineChart>
        <c:grouping val="standard"/>
        <c:varyColors val="0"/>
        <c:ser>
          <c:idx val="3"/>
          <c:order val="3"/>
          <c:tx>
            <c:strRef>
              <c:f>'Daily voice traffic'!$E$1</c:f>
              <c:strCache>
                <c:ptCount val="1"/>
                <c:pt idx="0">
                  <c:v>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elefonica Headline Light" panose="02000506040000020004" pitchFamily="50" charset="0"/>
                    <a:ea typeface="+mn-ea"/>
                    <a:cs typeface="+mn-cs"/>
                  </a:defRPr>
                </a:pPr>
                <a:endParaRPr lang="es-EC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'Daily voice traffic'!$A$2:$A$24</c:f>
              <c:strCache>
                <c:ptCount val="23"/>
                <c:pt idx="0">
                  <c:v>4/15/202X</c:v>
                </c:pt>
                <c:pt idx="1">
                  <c:v>4/16/202X</c:v>
                </c:pt>
                <c:pt idx="2">
                  <c:v>4/17/202X</c:v>
                </c:pt>
                <c:pt idx="3">
                  <c:v>4/18/202X</c:v>
                </c:pt>
                <c:pt idx="4">
                  <c:v>4/19/202X</c:v>
                </c:pt>
                <c:pt idx="5">
                  <c:v>4/20/202X</c:v>
                </c:pt>
                <c:pt idx="6">
                  <c:v>4/21/202X</c:v>
                </c:pt>
                <c:pt idx="7">
                  <c:v>4/22/202X</c:v>
                </c:pt>
                <c:pt idx="8">
                  <c:v>4/2X/202X</c:v>
                </c:pt>
                <c:pt idx="9">
                  <c:v>4/24/202X</c:v>
                </c:pt>
                <c:pt idx="10">
                  <c:v>4/25/202X</c:v>
                </c:pt>
                <c:pt idx="11">
                  <c:v>4/26/202X</c:v>
                </c:pt>
                <c:pt idx="12">
                  <c:v>4/27/202X</c:v>
                </c:pt>
                <c:pt idx="13">
                  <c:v>4/28/202X</c:v>
                </c:pt>
                <c:pt idx="14">
                  <c:v>4/29/202X</c:v>
                </c:pt>
                <c:pt idx="15">
                  <c:v>4/30/202X</c:v>
                </c:pt>
                <c:pt idx="16">
                  <c:v>5/1/202X</c:v>
                </c:pt>
                <c:pt idx="17">
                  <c:v>5/2/202X</c:v>
                </c:pt>
                <c:pt idx="18">
                  <c:v>5/3/202X</c:v>
                </c:pt>
                <c:pt idx="19">
                  <c:v>5/4/202X</c:v>
                </c:pt>
                <c:pt idx="20">
                  <c:v>5/5/202X</c:v>
                </c:pt>
                <c:pt idx="21">
                  <c:v>5/6/202X</c:v>
                </c:pt>
                <c:pt idx="22">
                  <c:v>5/7/202X</c:v>
                </c:pt>
              </c:strCache>
            </c:strRef>
          </c:cat>
          <c:val>
            <c:numRef>
              <c:f>'Daily voice traffic'!$E$2:$E$24</c:f>
              <c:numCache>
                <c:formatCode>0.00</c:formatCode>
                <c:ptCount val="23"/>
                <c:pt idx="0" formatCode="0">
                  <c:v>26.851158139333332</c:v>
                </c:pt>
                <c:pt idx="1">
                  <c:v>21.382072059000002</c:v>
                </c:pt>
                <c:pt idx="2" formatCode="0">
                  <c:v>35.231602428333332</c:v>
                </c:pt>
                <c:pt idx="3" formatCode="0">
                  <c:v>34.971978490333335</c:v>
                </c:pt>
                <c:pt idx="4" formatCode="0">
                  <c:v>35.146021889333333</c:v>
                </c:pt>
                <c:pt idx="5" formatCode="0">
                  <c:v>34.748971520333335</c:v>
                </c:pt>
                <c:pt idx="6" formatCode="0">
                  <c:v>35.119301046000004</c:v>
                </c:pt>
                <c:pt idx="7" formatCode="0">
                  <c:v>26.613229315333331</c:v>
                </c:pt>
                <c:pt idx="8" formatCode="0">
                  <c:v>21.005203554999998</c:v>
                </c:pt>
                <c:pt idx="9" formatCode="0">
                  <c:v>35.225063423000002</c:v>
                </c:pt>
                <c:pt idx="10" formatCode="0">
                  <c:v>35.067135164</c:v>
                </c:pt>
                <c:pt idx="11" formatCode="0">
                  <c:v>33.909955109000002</c:v>
                </c:pt>
                <c:pt idx="12" formatCode="0">
                  <c:v>35.133744399333331</c:v>
                </c:pt>
                <c:pt idx="13" formatCode="0">
                  <c:v>35.625940831999998</c:v>
                </c:pt>
                <c:pt idx="14" formatCode="0">
                  <c:v>27.005685342666666</c:v>
                </c:pt>
                <c:pt idx="15">
                  <c:v>20.706114538999998</c:v>
                </c:pt>
                <c:pt idx="16" formatCode="0">
                  <c:v>23.30570972966667</c:v>
                </c:pt>
                <c:pt idx="17" formatCode="0">
                  <c:v>35.064299771666668</c:v>
                </c:pt>
                <c:pt idx="18" formatCode="0">
                  <c:v>35.109810838666661</c:v>
                </c:pt>
                <c:pt idx="19" formatCode="0">
                  <c:v>35.241098119666667</c:v>
                </c:pt>
                <c:pt idx="20" formatCode="0">
                  <c:v>35.759953988333336</c:v>
                </c:pt>
                <c:pt idx="21" formatCode="0">
                  <c:v>26.874047000666664</c:v>
                </c:pt>
                <c:pt idx="22">
                  <c:v>21.364021494333333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A0-4E7E-8DD5-CCE7751EB3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18832304"/>
        <c:axId val="2018826896"/>
      </c:lineChart>
      <c:catAx>
        <c:axId val="201883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elefonica Headline Light" panose="02000506040000020004" pitchFamily="50" charset="0"/>
                <a:ea typeface="+mn-ea"/>
                <a:cs typeface="+mn-cs"/>
              </a:defRPr>
            </a:pPr>
            <a:endParaRPr lang="es-EC"/>
          </a:p>
        </c:txPr>
        <c:crossAx val="2018826896"/>
        <c:crosses val="autoZero"/>
        <c:auto val="1"/>
        <c:lblAlgn val="ctr"/>
        <c:lblOffset val="100"/>
        <c:noMultiLvlLbl val="1"/>
      </c:catAx>
      <c:valAx>
        <c:axId val="2018826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1883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elefonica Headline Light" panose="02000506040000020004" pitchFamily="50" charset="0"/>
                <a:ea typeface="+mn-ea"/>
                <a:cs typeface="+mn-cs"/>
              </a:defRPr>
            </a:pPr>
            <a:r>
              <a:rPr lang="en-US"/>
              <a:t>OTT1 (+24%)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elefonica Headline Light" panose="02000506040000020004" pitchFamily="50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'Daily OTT traffic'!$B$1</c:f>
              <c:strCache>
                <c:ptCount val="1"/>
                <c:pt idx="0">
                  <c:v>TB_OTT1</c:v>
                </c:pt>
              </c:strCache>
            </c:strRef>
          </c:tx>
          <c:spPr>
            <a:solidFill>
              <a:srgbClr val="203864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55-4BBC-B59B-210A3333D8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55-4BBC-B59B-210A3333D89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55-4BBC-B59B-210A3333D89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55-4BBC-B59B-210A3333D89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55-4BBC-B59B-210A3333D89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55-4BBC-B59B-210A3333D89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55-4BBC-B59B-210A3333D89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55-4BBC-B59B-210A3333D89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355-4BBC-B59B-210A3333D89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55-4BBC-B59B-210A3333D89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55-4BBC-B59B-210A3333D89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55-4BBC-B59B-210A3333D89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55-4BBC-B59B-210A3333D89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355-4BBC-B59B-210A3333D89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355-4BBC-B59B-210A3333D89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355-4BBC-B59B-210A3333D89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3A-41B3-AE23-024378D50C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3A-41B3-AE23-024378D50C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3A-41B3-AE23-024378D50C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3A-41B3-AE23-024378D50C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'Daily OTT traffic'!$A$2:$A$24</c:f>
              <c:strCache>
                <c:ptCount val="23"/>
                <c:pt idx="0">
                  <c:v>4/15/202X</c:v>
                </c:pt>
                <c:pt idx="1">
                  <c:v>4/16/202X</c:v>
                </c:pt>
                <c:pt idx="2">
                  <c:v>4/17/202X</c:v>
                </c:pt>
                <c:pt idx="3">
                  <c:v>4/18/202X</c:v>
                </c:pt>
                <c:pt idx="4">
                  <c:v>4/19/202X</c:v>
                </c:pt>
                <c:pt idx="5">
                  <c:v>4/20/202X</c:v>
                </c:pt>
                <c:pt idx="6">
                  <c:v>4/21/202X</c:v>
                </c:pt>
                <c:pt idx="7">
                  <c:v>4/22/202X</c:v>
                </c:pt>
                <c:pt idx="8">
                  <c:v>4/2X/202X</c:v>
                </c:pt>
                <c:pt idx="9">
                  <c:v>4/24/202X</c:v>
                </c:pt>
                <c:pt idx="10">
                  <c:v>4/25/202X</c:v>
                </c:pt>
                <c:pt idx="11">
                  <c:v>4/26/202X</c:v>
                </c:pt>
                <c:pt idx="12">
                  <c:v>4/27/202X</c:v>
                </c:pt>
                <c:pt idx="13">
                  <c:v>4/28/202X</c:v>
                </c:pt>
                <c:pt idx="14">
                  <c:v>4/29/202X</c:v>
                </c:pt>
                <c:pt idx="15">
                  <c:v>4/30/202X</c:v>
                </c:pt>
                <c:pt idx="16">
                  <c:v>5/1/202X</c:v>
                </c:pt>
                <c:pt idx="17">
                  <c:v>5/2/202X</c:v>
                </c:pt>
                <c:pt idx="18">
                  <c:v>5/3/202X</c:v>
                </c:pt>
                <c:pt idx="19">
                  <c:v>5/4/202X</c:v>
                </c:pt>
                <c:pt idx="20">
                  <c:v>5/5/202X</c:v>
                </c:pt>
                <c:pt idx="21">
                  <c:v>5/6/202X</c:v>
                </c:pt>
                <c:pt idx="22">
                  <c:v>5/7/202X</c:v>
                </c:pt>
              </c:strCache>
            </c:strRef>
          </c:cat>
          <c:val>
            <c:numRef>
              <c:f>'Daily OTT traffic'!$B$2:$B$24</c:f>
              <c:numCache>
                <c:formatCode>0.0</c:formatCode>
                <c:ptCount val="23"/>
                <c:pt idx="0" formatCode="0">
                  <c:v>147.03574236099939</c:v>
                </c:pt>
                <c:pt idx="1">
                  <c:v>137.89403222417513</c:v>
                </c:pt>
                <c:pt idx="2" formatCode="0">
                  <c:v>156.06100216573486</c:v>
                </c:pt>
                <c:pt idx="3" formatCode="0">
                  <c:v>150.6972733594057</c:v>
                </c:pt>
                <c:pt idx="4" formatCode="0">
                  <c:v>147.59889988704253</c:v>
                </c:pt>
                <c:pt idx="5" formatCode="0">
                  <c:v>152.59716092280814</c:v>
                </c:pt>
                <c:pt idx="6" formatCode="0">
                  <c:v>153.18018405954535</c:v>
                </c:pt>
                <c:pt idx="7" formatCode="0">
                  <c:v>143.79328240710311</c:v>
                </c:pt>
                <c:pt idx="8" formatCode="0">
                  <c:v>137.30140283531546</c:v>
                </c:pt>
                <c:pt idx="9" formatCode="0">
                  <c:v>148.74194690933928</c:v>
                </c:pt>
                <c:pt idx="10" formatCode="0">
                  <c:v>149.96224115871064</c:v>
                </c:pt>
                <c:pt idx="11" formatCode="0">
                  <c:v>145.97672906029493</c:v>
                </c:pt>
                <c:pt idx="12" formatCode="0">
                  <c:v>147.87792532076855</c:v>
                </c:pt>
                <c:pt idx="13" formatCode="0">
                  <c:v>149.59452022692585</c:v>
                </c:pt>
                <c:pt idx="14" formatCode="0">
                  <c:v>141.01873174804859</c:v>
                </c:pt>
                <c:pt idx="15">
                  <c:v>135.28448236725671</c:v>
                </c:pt>
                <c:pt idx="16" formatCode="0">
                  <c:v>135.96190027355624</c:v>
                </c:pt>
                <c:pt idx="17" formatCode="0">
                  <c:v>147.62182079269041</c:v>
                </c:pt>
                <c:pt idx="18" formatCode="0">
                  <c:v>146.92094715382518</c:v>
                </c:pt>
                <c:pt idx="19" formatCode="0">
                  <c:v>147.55480015209014</c:v>
                </c:pt>
                <c:pt idx="20" formatCode="0">
                  <c:v>151.55109322556746</c:v>
                </c:pt>
                <c:pt idx="21" formatCode="0">
                  <c:v>145.53766932134295</c:v>
                </c:pt>
                <c:pt idx="22">
                  <c:v>135.7853868987977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55-4BBC-B59B-210A3333D8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5"/>
        <c:overlap val="100"/>
        <c:axId val="1976928848"/>
        <c:axId val="1976926352"/>
      </c:barChart>
      <c:catAx>
        <c:axId val="197692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elefonica Headline Light" panose="02000506040000020004" pitchFamily="50" charset="0"/>
                <a:ea typeface="+mn-ea"/>
                <a:cs typeface="+mn-cs"/>
              </a:defRPr>
            </a:pPr>
            <a:endParaRPr lang="es-EC"/>
          </a:p>
        </c:txPr>
        <c:crossAx val="1976926352"/>
        <c:crosses val="autoZero"/>
        <c:auto val="1"/>
        <c:lblAlgn val="ctr"/>
        <c:lblOffset val="100"/>
        <c:noMultiLvlLbl val="1"/>
      </c:catAx>
      <c:valAx>
        <c:axId val="1976926352"/>
        <c:scaling>
          <c:orientation val="minMax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elefonica Headline Light" panose="02000506040000020004" pitchFamily="50" charset="0"/>
                <a:ea typeface="+mn-ea"/>
                <a:cs typeface="+mn-cs"/>
              </a:defRPr>
            </a:pPr>
            <a:endParaRPr lang="es-EC"/>
          </a:p>
        </c:txPr>
        <c:crossAx val="1976928848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311024</xdr:colOff>
      <xdr:row>0</xdr:row>
      <xdr:rowOff>19444</xdr:rowOff>
    </xdr:from>
    <xdr:to>
      <xdr:col>25</xdr:col>
      <xdr:colOff>534566</xdr:colOff>
      <xdr:row>19</xdr:row>
      <xdr:rowOff>184668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47631</xdr:colOff>
      <xdr:row>0</xdr:row>
      <xdr:rowOff>0</xdr:rowOff>
    </xdr:from>
    <xdr:to>
      <xdr:col>12</xdr:col>
      <xdr:colOff>392205</xdr:colOff>
      <xdr:row>23</xdr:row>
      <xdr:rowOff>145676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IN" connectionId="1" xr16:uid="{00000000-0016-0000-0200-000000000000}" autoFormatId="16" applyNumberFormats="0" applyBorderFormats="0" applyFontFormats="0" applyPatternFormats="0" applyAlignmentFormats="0" applyWidthHeightFormats="0">
  <queryTableRefresh nextId="16" unboundColumnsRight="4">
    <queryTableFields count="8">
      <queryTableField id="5" name="FECHA" tableColumnId="5"/>
      <queryTableField id="13" name="4G" tableColumnId="1"/>
      <queryTableField id="14" name="3G" tableColumnId="2"/>
      <queryTableField id="15" name="2G" tableColumnId="3"/>
      <queryTableField id="9" dataBound="0" tableColumnId="9"/>
      <queryTableField id="10" dataBound="0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IN" connectionId="2" xr16:uid="{00000000-0016-0000-0600-000004000000}" autoFormatId="16" applyNumberFormats="0" applyBorderFormats="0" applyFontFormats="0" applyPatternFormats="0" applyAlignmentFormats="0" applyWidthHeightFormats="0">
  <queryTableRefresh nextId="22">
    <queryTableFields count="2">
      <queryTableField id="5" name="FECHA" tableColumnId="5"/>
      <queryTableField id="21" name="TB_FACEBOOK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ODIN" displayName="Tabla_Consulta_desde_ODIN" ref="A1:H24" tableType="queryTable" totalsRowShown="0">
  <autoFilter ref="A1:H24" xr:uid="{00000000-0009-0000-0100-000001000000}"/>
  <tableColumns count="8">
    <tableColumn id="5" xr3:uid="{00000000-0010-0000-0000-000005000000}" uniqueName="5" name="FECHA" queryTableFieldId="5" dataDxfId="9"/>
    <tableColumn id="1" xr3:uid="{00000000-0010-0000-0000-000001000000}" uniqueName="1" name="4G" queryTableFieldId="13" dataDxfId="8"/>
    <tableColumn id="2" xr3:uid="{00000000-0010-0000-0000-000002000000}" uniqueName="2" name="3G" queryTableFieldId="14" dataDxfId="7"/>
    <tableColumn id="3" xr3:uid="{00000000-0010-0000-0000-000003000000}" uniqueName="3" name="2G" queryTableFieldId="15" dataDxfId="6"/>
    <tableColumn id="9" xr3:uid="{00000000-0010-0000-0000-000009000000}" uniqueName="9" name=" " queryTableFieldId="9" dataDxfId="5">
      <calculatedColumnFormula>SUM(B2:D2)</calculatedColumnFormula>
    </tableColumn>
    <tableColumn id="10" xr3:uid="{00000000-0010-0000-0000-00000A000000}" uniqueName="10" name="%4G" queryTableFieldId="10" dataDxfId="4">
      <calculatedColumnFormula>B2/E2</calculatedColumnFormula>
    </tableColumn>
    <tableColumn id="11" xr3:uid="{00000000-0010-0000-0000-00000B000000}" uniqueName="11" name="%3G" queryTableFieldId="11" dataDxfId="3">
      <calculatedColumnFormula>C2/E2</calculatedColumnFormula>
    </tableColumn>
    <tableColumn id="12" xr3:uid="{00000000-0010-0000-0000-00000C000000}" uniqueName="12" name="%2G" queryTableFieldId="12" dataDxfId="2">
      <calculatedColumnFormula>D2/E2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la_Consulta_desde_ODIN57" displayName="Tabla_Consulta_desde_ODIN57" ref="A1:B24" tableType="queryTable" totalsRowShown="0">
  <autoFilter ref="A1:B24" xr:uid="{00000000-0009-0000-0100-000006000000}"/>
  <tableColumns count="2">
    <tableColumn id="5" xr3:uid="{00000000-0010-0000-0400-000005000000}" uniqueName="5" name="FECHA" queryTableFieldId="5" dataDxfId="1"/>
    <tableColumn id="14" xr3:uid="{00000000-0010-0000-0400-00000E000000}" uniqueName="14" name="TB_OTT1" queryTableFieldId="2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nager@company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21"/>
  <sheetViews>
    <sheetView showGridLines="0" workbookViewId="0"/>
  </sheetViews>
  <sheetFormatPr defaultColWidth="11.42578125" defaultRowHeight="15"/>
  <cols>
    <col min="1" max="2" width="14.7109375" customWidth="1"/>
    <col min="3" max="3" width="7.7109375" customWidth="1"/>
    <col min="4" max="4" width="4.7109375" customWidth="1"/>
    <col min="5" max="5" width="7.7109375" customWidth="1"/>
  </cols>
  <sheetData>
    <row r="1" spans="1:11">
      <c r="A1" t="s">
        <v>56</v>
      </c>
      <c r="B1" s="9" t="s">
        <v>11</v>
      </c>
    </row>
    <row r="2" spans="1:11">
      <c r="A2" t="s">
        <v>8</v>
      </c>
      <c r="B2" t="s">
        <v>12</v>
      </c>
    </row>
    <row r="3" spans="1:11">
      <c r="A3" t="s">
        <v>9</v>
      </c>
      <c r="B3" t="str">
        <f ca="1">"Traffic Report " &amp; MONTH(TODAY())&amp;" - "&amp;YEAR(TODAY())</f>
        <v>Traffic Report 10 - 2026</v>
      </c>
    </row>
    <row r="5" spans="1:11">
      <c r="A5" t="s">
        <v>17</v>
      </c>
    </row>
    <row r="7" spans="1:11">
      <c r="A7" s="22" t="s">
        <v>18</v>
      </c>
      <c r="B7" s="23"/>
      <c r="C7" s="23"/>
      <c r="D7" s="23"/>
      <c r="E7" s="23"/>
      <c r="F7" s="23"/>
      <c r="G7" s="23"/>
      <c r="H7" s="23"/>
      <c r="I7" s="23"/>
      <c r="J7" s="23"/>
      <c r="K7" s="23"/>
    </row>
    <row r="8" spans="1:11">
      <c r="A8" s="23" t="s">
        <v>19</v>
      </c>
      <c r="B8" s="23"/>
      <c r="C8" s="23"/>
      <c r="D8" s="23"/>
      <c r="E8" s="23"/>
      <c r="F8" s="23"/>
      <c r="G8" s="23"/>
      <c r="H8" s="23"/>
      <c r="I8" s="23"/>
      <c r="J8" s="23"/>
      <c r="K8" s="23"/>
    </row>
    <row r="10" spans="1:11">
      <c r="A10" s="11" t="s">
        <v>24</v>
      </c>
      <c r="B10" s="11"/>
      <c r="C10" s="19" t="s">
        <v>53</v>
      </c>
      <c r="D10" s="12" t="s">
        <v>10</v>
      </c>
      <c r="E10" s="19" t="s">
        <v>51</v>
      </c>
    </row>
    <row r="11" spans="1:11">
      <c r="A11" t="s">
        <v>23</v>
      </c>
      <c r="C11" s="20" t="s">
        <v>55</v>
      </c>
      <c r="D11" s="10" t="s">
        <v>10</v>
      </c>
      <c r="E11" s="21" t="s">
        <v>52</v>
      </c>
    </row>
    <row r="12" spans="1:11" ht="15.75" thickBot="1">
      <c r="A12" s="13" t="s">
        <v>22</v>
      </c>
      <c r="B12" s="13"/>
      <c r="C12" s="14" t="s">
        <v>13</v>
      </c>
      <c r="D12" s="14" t="s">
        <v>10</v>
      </c>
      <c r="E12" s="14" t="s">
        <v>14</v>
      </c>
    </row>
    <row r="13" spans="1:11" ht="15.75" thickTop="1"/>
    <row r="14" spans="1:11">
      <c r="A14" s="23" t="s">
        <v>21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</row>
    <row r="16" spans="1:11">
      <c r="A16" s="11" t="s">
        <v>24</v>
      </c>
      <c r="B16" s="11"/>
      <c r="C16" s="19" t="s">
        <v>50</v>
      </c>
      <c r="D16" s="12" t="s">
        <v>10</v>
      </c>
      <c r="E16" s="19" t="s">
        <v>54</v>
      </c>
    </row>
    <row r="17" spans="1:5">
      <c r="A17" t="s">
        <v>23</v>
      </c>
      <c r="C17" s="20" t="s">
        <v>49</v>
      </c>
      <c r="D17" s="10" t="s">
        <v>10</v>
      </c>
      <c r="E17" s="20" t="s">
        <v>51</v>
      </c>
    </row>
    <row r="18" spans="1:5" ht="15.75" thickBot="1">
      <c r="A18" s="13" t="s">
        <v>22</v>
      </c>
      <c r="B18" s="13"/>
      <c r="C18" s="14" t="s">
        <v>15</v>
      </c>
      <c r="D18" s="14" t="s">
        <v>10</v>
      </c>
      <c r="E18" s="14" t="s">
        <v>16</v>
      </c>
    </row>
    <row r="19" spans="1:5" ht="15.75" thickTop="1"/>
    <row r="20" spans="1:5">
      <c r="A20" t="s">
        <v>48</v>
      </c>
    </row>
    <row r="21" spans="1:5">
      <c r="A21" t="s">
        <v>20</v>
      </c>
    </row>
  </sheetData>
  <mergeCells count="3">
    <mergeCell ref="A7:K7"/>
    <mergeCell ref="A8:K8"/>
    <mergeCell ref="A14:K14"/>
  </mergeCells>
  <hyperlinks>
    <hyperlink ref="B1" r:id="rId1" xr:uid="{00000000-0004-0000-0100-000000000000}"/>
  </hyperlinks>
  <pageMargins left="0.7" right="0.7" top="0.75" bottom="0.75" header="0.3" footer="0.3"/>
  <pageSetup orientation="portrait" r:id="rId2"/>
  <headerFooter>
    <oddFooter>&amp;L&amp;1#&amp;"Arial"&amp;7&amp;K000000***Este documento está clasificado como PUBLICO por TELEFÓNICA. ***This document is classified as PUBLIC by TELEFÓNICA.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J50"/>
  <sheetViews>
    <sheetView showGridLines="0" tabSelected="1" zoomScale="98" zoomScaleNormal="98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1" sqref="B11"/>
    </sheetView>
  </sheetViews>
  <sheetFormatPr defaultColWidth="11.42578125" defaultRowHeight="15"/>
  <cols>
    <col min="1" max="1" width="10.140625" style="17" bestFit="1" customWidth="1"/>
    <col min="2" max="4" width="5.7109375" style="1" customWidth="1"/>
    <col min="5" max="5" width="5.7109375" customWidth="1"/>
    <col min="6" max="7" width="7.28515625" customWidth="1"/>
    <col min="8" max="9" width="7.28515625" bestFit="1" customWidth="1"/>
    <col min="10" max="10" width="10.7109375" customWidth="1"/>
    <col min="11" max="11" width="7.28515625" bestFit="1" customWidth="1"/>
    <col min="54" max="54" width="6.42578125" customWidth="1"/>
    <col min="55" max="55" width="22.7109375" bestFit="1" customWidth="1"/>
    <col min="56" max="56" width="18" bestFit="1" customWidth="1"/>
    <col min="57" max="57" width="16.42578125" bestFit="1" customWidth="1"/>
  </cols>
  <sheetData>
    <row r="1" spans="1:10">
      <c r="A1" s="17" t="s">
        <v>0</v>
      </c>
      <c r="B1" s="1" t="s">
        <v>5</v>
      </c>
      <c r="C1" s="1" t="s">
        <v>6</v>
      </c>
      <c r="D1" s="1" t="s">
        <v>7</v>
      </c>
      <c r="E1" t="s">
        <v>4</v>
      </c>
      <c r="F1" t="s">
        <v>1</v>
      </c>
      <c r="G1" t="s">
        <v>2</v>
      </c>
      <c r="H1" t="s">
        <v>3</v>
      </c>
    </row>
    <row r="2" spans="1:10">
      <c r="A2" s="18" t="s">
        <v>25</v>
      </c>
      <c r="B2" s="3">
        <v>4.7407065133333335</v>
      </c>
      <c r="C2" s="3">
        <v>20.632185767999999</v>
      </c>
      <c r="D2" s="3">
        <v>1.4782658580000001</v>
      </c>
      <c r="E2" s="3">
        <f t="shared" ref="E2:E24" si="0">SUM(B2:D2)</f>
        <v>26.851158139333332</v>
      </c>
      <c r="F2" s="4">
        <f t="shared" ref="F2:F24" si="1">B2/E2</f>
        <v>0.17655501072740831</v>
      </c>
      <c r="G2" s="4">
        <f t="shared" ref="G2:G24" si="2">C2/E2</f>
        <v>0.76839090742148008</v>
      </c>
      <c r="H2" s="4">
        <f t="shared" ref="H2:H24" si="3">D2/E2</f>
        <v>5.5054081851111651E-2</v>
      </c>
    </row>
    <row r="3" spans="1:10" ht="23.25">
      <c r="A3" s="18" t="s">
        <v>26</v>
      </c>
      <c r="B3" s="3">
        <v>3.4848074250000001</v>
      </c>
      <c r="C3" s="3">
        <v>16.646174202000001</v>
      </c>
      <c r="D3" s="3">
        <v>1.251090432</v>
      </c>
      <c r="E3" s="2">
        <f t="shared" si="0"/>
        <v>21.382072059000002</v>
      </c>
      <c r="F3" s="4">
        <f t="shared" si="1"/>
        <v>0.16297800397381026</v>
      </c>
      <c r="G3" s="4">
        <f t="shared" si="2"/>
        <v>0.77851080831024522</v>
      </c>
      <c r="H3" s="4">
        <f t="shared" si="3"/>
        <v>5.8511187715944456E-2</v>
      </c>
      <c r="J3" s="15" t="str">
        <f>IF(ROUND(((ROUND(E24,2)/ROUND(E3,2)-1)*100),0)=0,"0%",CONCATENATE(IF(SIGN(ROUND(E24,2)/ROUND(E3,2)-1)=1,"+ ","- "),ABS(ROUND(100*(ROUND(E24,2)/ROUND(E3,2)-1),0)),"%"))</f>
        <v>0%</v>
      </c>
    </row>
    <row r="4" spans="1:10">
      <c r="A4" s="18" t="s">
        <v>27</v>
      </c>
      <c r="B4" s="3">
        <v>7.5236104983333334</v>
      </c>
      <c r="C4" s="3">
        <v>25.895241612</v>
      </c>
      <c r="D4" s="3">
        <v>1.812750318</v>
      </c>
      <c r="E4" s="3">
        <f t="shared" si="0"/>
        <v>35.231602428333332</v>
      </c>
      <c r="F4" s="4">
        <f t="shared" si="1"/>
        <v>0.21354721272293961</v>
      </c>
      <c r="G4" s="4">
        <f t="shared" si="2"/>
        <v>0.73500039246511784</v>
      </c>
      <c r="H4" s="4">
        <f t="shared" si="3"/>
        <v>5.1452394811942533E-2</v>
      </c>
    </row>
    <row r="5" spans="1:10">
      <c r="A5" s="18" t="s">
        <v>28</v>
      </c>
      <c r="B5" s="3">
        <v>7.5773114083333333</v>
      </c>
      <c r="C5" s="3">
        <v>25.599084821999998</v>
      </c>
      <c r="D5" s="3">
        <v>1.79558226</v>
      </c>
      <c r="E5" s="3">
        <f t="shared" si="0"/>
        <v>34.971978490333335</v>
      </c>
      <c r="F5" s="4">
        <f t="shared" si="1"/>
        <v>0.21666807928604301</v>
      </c>
      <c r="G5" s="4">
        <f t="shared" si="2"/>
        <v>0.73198846410922636</v>
      </c>
      <c r="H5" s="4">
        <f t="shared" si="3"/>
        <v>5.1343456604730553E-2</v>
      </c>
    </row>
    <row r="6" spans="1:10">
      <c r="A6" s="18" t="s">
        <v>29</v>
      </c>
      <c r="B6" s="3">
        <v>7.6270427933333336</v>
      </c>
      <c r="C6" s="3">
        <v>25.748129609999999</v>
      </c>
      <c r="D6" s="3">
        <v>1.7708494859999999</v>
      </c>
      <c r="E6" s="3">
        <f t="shared" si="0"/>
        <v>35.146021889333333</v>
      </c>
      <c r="F6" s="4">
        <f t="shared" si="1"/>
        <v>0.21701013040249964</v>
      </c>
      <c r="G6" s="4">
        <f t="shared" si="2"/>
        <v>0.73260438097588643</v>
      </c>
      <c r="H6" s="4">
        <f t="shared" si="3"/>
        <v>5.0385488621613961E-2</v>
      </c>
      <c r="J6" s="8"/>
    </row>
    <row r="7" spans="1:10">
      <c r="A7" s="18" t="s">
        <v>30</v>
      </c>
      <c r="B7" s="3">
        <v>7.533305828333333</v>
      </c>
      <c r="C7" s="3">
        <v>25.432363727999999</v>
      </c>
      <c r="D7" s="3">
        <v>1.7833019640000001</v>
      </c>
      <c r="E7" s="3">
        <f t="shared" si="0"/>
        <v>34.748971520333335</v>
      </c>
      <c r="F7" s="4">
        <f t="shared" si="1"/>
        <v>0.21679219553088713</v>
      </c>
      <c r="G7" s="4">
        <f t="shared" si="2"/>
        <v>0.73188824345832137</v>
      </c>
      <c r="H7" s="4">
        <f t="shared" si="3"/>
        <v>5.1319561010791423E-2</v>
      </c>
    </row>
    <row r="8" spans="1:10">
      <c r="A8" s="18" t="s">
        <v>31</v>
      </c>
      <c r="B8" s="3">
        <v>7.5036072300000001</v>
      </c>
      <c r="C8" s="3">
        <v>25.792676466</v>
      </c>
      <c r="D8" s="3">
        <v>1.82301735</v>
      </c>
      <c r="E8" s="3">
        <f t="shared" si="0"/>
        <v>35.119301046000004</v>
      </c>
      <c r="F8" s="4">
        <f t="shared" si="1"/>
        <v>0.21366049455744054</v>
      </c>
      <c r="G8" s="4">
        <f t="shared" si="2"/>
        <v>0.7344302334552788</v>
      </c>
      <c r="H8" s="4">
        <f t="shared" si="3"/>
        <v>5.1909271987280535E-2</v>
      </c>
    </row>
    <row r="9" spans="1:10">
      <c r="A9" s="18" t="s">
        <v>32</v>
      </c>
      <c r="B9" s="3">
        <v>4.7051448133333329</v>
      </c>
      <c r="C9" s="3">
        <v>20.411891189999999</v>
      </c>
      <c r="D9" s="3">
        <v>1.4961933119999999</v>
      </c>
      <c r="E9" s="3">
        <f t="shared" si="0"/>
        <v>26.613229315333331</v>
      </c>
      <c r="F9" s="4">
        <f t="shared" si="1"/>
        <v>0.17679721455759007</v>
      </c>
      <c r="G9" s="4">
        <f t="shared" si="2"/>
        <v>0.76698287713019464</v>
      </c>
      <c r="H9" s="4">
        <f t="shared" si="3"/>
        <v>5.6219908312215287E-2</v>
      </c>
    </row>
    <row r="10" spans="1:10">
      <c r="A10" s="18" t="s">
        <v>33</v>
      </c>
      <c r="B10" s="3">
        <v>3.4288389850000001</v>
      </c>
      <c r="C10" s="3">
        <v>16.313340522000001</v>
      </c>
      <c r="D10" s="3">
        <v>1.2630240479999999</v>
      </c>
      <c r="E10" s="3">
        <f t="shared" si="0"/>
        <v>21.005203554999998</v>
      </c>
      <c r="F10" s="4">
        <f t="shared" si="1"/>
        <v>0.16323759853228428</v>
      </c>
      <c r="G10" s="4">
        <f t="shared" si="2"/>
        <v>0.77663329847221763</v>
      </c>
      <c r="H10" s="4">
        <f t="shared" si="3"/>
        <v>6.0129102995498201E-2</v>
      </c>
    </row>
    <row r="11" spans="1:10">
      <c r="A11" s="18" t="s">
        <v>34</v>
      </c>
      <c r="B11" s="3">
        <v>7.5045807949999999</v>
      </c>
      <c r="C11" s="3">
        <v>25.922599787999999</v>
      </c>
      <c r="D11" s="3">
        <v>1.79788284</v>
      </c>
      <c r="E11" s="3">
        <f t="shared" si="0"/>
        <v>35.225063423000002</v>
      </c>
      <c r="F11" s="4">
        <f t="shared" si="1"/>
        <v>0.21304662265277646</v>
      </c>
      <c r="G11" s="4">
        <f t="shared" si="2"/>
        <v>0.73591350217623708</v>
      </c>
      <c r="H11" s="4">
        <f t="shared" si="3"/>
        <v>5.1039875170986425E-2</v>
      </c>
    </row>
    <row r="12" spans="1:10">
      <c r="A12" s="18" t="s">
        <v>35</v>
      </c>
      <c r="B12" s="3">
        <v>7.6240233799999997</v>
      </c>
      <c r="C12" s="3">
        <v>25.639068072000001</v>
      </c>
      <c r="D12" s="3">
        <v>1.8040437119999999</v>
      </c>
      <c r="E12" s="3">
        <f t="shared" si="0"/>
        <v>35.067135164</v>
      </c>
      <c r="F12" s="4">
        <f t="shared" si="1"/>
        <v>0.21741221073077105</v>
      </c>
      <c r="G12" s="4">
        <f t="shared" si="2"/>
        <v>0.73114236312982661</v>
      </c>
      <c r="H12" s="4">
        <f t="shared" si="3"/>
        <v>5.1445426139402319E-2</v>
      </c>
    </row>
    <row r="13" spans="1:10">
      <c r="A13" s="18" t="s">
        <v>36</v>
      </c>
      <c r="B13" s="3">
        <v>7.5839119249999998</v>
      </c>
      <c r="C13" s="3">
        <v>24.554124498</v>
      </c>
      <c r="D13" s="3">
        <v>1.771918686</v>
      </c>
      <c r="E13" s="3">
        <f t="shared" si="0"/>
        <v>33.909955109000002</v>
      </c>
      <c r="F13" s="4">
        <f t="shared" si="1"/>
        <v>0.22364853921576447</v>
      </c>
      <c r="G13" s="4">
        <f t="shared" si="2"/>
        <v>0.72409781785535654</v>
      </c>
      <c r="H13" s="4">
        <f t="shared" si="3"/>
        <v>5.2253642928878935E-2</v>
      </c>
    </row>
    <row r="14" spans="1:10">
      <c r="A14" s="18" t="s">
        <v>37</v>
      </c>
      <c r="B14" s="3">
        <v>7.646265783333333</v>
      </c>
      <c r="C14" s="3">
        <v>25.732873518000002</v>
      </c>
      <c r="D14" s="3">
        <v>1.7546050980000001</v>
      </c>
      <c r="E14" s="3">
        <f t="shared" si="0"/>
        <v>35.133744399333331</v>
      </c>
      <c r="F14" s="4">
        <f t="shared" si="1"/>
        <v>0.2176331021375115</v>
      </c>
      <c r="G14" s="4">
        <f t="shared" si="2"/>
        <v>0.73242616060269072</v>
      </c>
      <c r="H14" s="4">
        <f t="shared" si="3"/>
        <v>4.9940737259797849E-2</v>
      </c>
    </row>
    <row r="15" spans="1:10">
      <c r="A15" s="18" t="s">
        <v>38</v>
      </c>
      <c r="B15" s="3">
        <v>7.6095034699999999</v>
      </c>
      <c r="C15" s="3">
        <v>26.199699150000001</v>
      </c>
      <c r="D15" s="3">
        <v>1.816738212</v>
      </c>
      <c r="E15" s="3">
        <f t="shared" si="0"/>
        <v>35.625940831999998</v>
      </c>
      <c r="F15" s="4">
        <f t="shared" si="1"/>
        <v>0.21359445651930623</v>
      </c>
      <c r="G15" s="4">
        <f t="shared" si="2"/>
        <v>0.7354107298821666</v>
      </c>
      <c r="H15" s="4">
        <f t="shared" si="3"/>
        <v>5.0994813598527228E-2</v>
      </c>
    </row>
    <row r="16" spans="1:10">
      <c r="A16" s="18" t="s">
        <v>39</v>
      </c>
      <c r="B16" s="3">
        <v>4.7199772266666669</v>
      </c>
      <c r="C16" s="3">
        <v>20.76097377</v>
      </c>
      <c r="D16" s="3">
        <v>1.524734346</v>
      </c>
      <c r="E16" s="3">
        <f t="shared" si="0"/>
        <v>27.005685342666666</v>
      </c>
      <c r="F16" s="4">
        <f t="shared" si="1"/>
        <v>0.17477716883598238</v>
      </c>
      <c r="G16" s="4">
        <f t="shared" si="2"/>
        <v>0.76876307735095473</v>
      </c>
      <c r="H16" s="4">
        <f t="shared" si="3"/>
        <v>5.6459753813062855E-2</v>
      </c>
    </row>
    <row r="17" spans="1:10" ht="23.25">
      <c r="A17" s="18" t="s">
        <v>40</v>
      </c>
      <c r="B17" s="3">
        <v>3.3160803049999998</v>
      </c>
      <c r="C17" s="3">
        <v>16.124580527999999</v>
      </c>
      <c r="D17" s="3">
        <v>1.265453706</v>
      </c>
      <c r="E17" s="2">
        <f t="shared" si="0"/>
        <v>20.706114538999998</v>
      </c>
      <c r="F17" s="4">
        <f t="shared" si="1"/>
        <v>0.16014980979430773</v>
      </c>
      <c r="G17" s="4">
        <f t="shared" si="2"/>
        <v>0.77873521358289255</v>
      </c>
      <c r="H17" s="4">
        <f t="shared" si="3"/>
        <v>6.1114976622799799E-2</v>
      </c>
      <c r="J17" s="15" t="str">
        <f>IF(ROUND(((ROUND(E24,2)/ROUND(E17,2)-1)*100),0)=0,"0%",CONCATENATE(IF(SIGN(ROUND(E24,2)/ROUND(E17,2)-1)=1,"+ ","- "),ABS(ROUND(100*(ROUND(E24,2)/ROUND(E17,2)-1),0)),"%"))</f>
        <v>+ 3%</v>
      </c>
    </row>
    <row r="18" spans="1:10">
      <c r="A18" s="18" t="s">
        <v>41</v>
      </c>
      <c r="B18" s="3">
        <v>3.9392310716666668</v>
      </c>
      <c r="C18" s="3">
        <v>18.057319536000001</v>
      </c>
      <c r="D18" s="3">
        <v>1.3091591220000001</v>
      </c>
      <c r="E18" s="3">
        <f t="shared" si="0"/>
        <v>23.30570972966667</v>
      </c>
      <c r="F18" s="4">
        <f t="shared" si="1"/>
        <v>0.16902429135862268</v>
      </c>
      <c r="G18" s="4">
        <f t="shared" si="2"/>
        <v>0.77480238728856188</v>
      </c>
      <c r="H18" s="4">
        <f t="shared" si="3"/>
        <v>5.6173321352815303E-2</v>
      </c>
    </row>
    <row r="19" spans="1:10">
      <c r="A19" s="18" t="s">
        <v>42</v>
      </c>
      <c r="B19" s="3">
        <v>7.578574061666667</v>
      </c>
      <c r="C19" s="3">
        <v>25.780152090000001</v>
      </c>
      <c r="D19" s="3">
        <v>1.70557362</v>
      </c>
      <c r="E19" s="3">
        <f t="shared" si="0"/>
        <v>35.064299771666668</v>
      </c>
      <c r="F19" s="4">
        <f t="shared" si="1"/>
        <v>0.21613362054902499</v>
      </c>
      <c r="G19" s="4">
        <f t="shared" si="2"/>
        <v>0.73522506531932452</v>
      </c>
      <c r="H19" s="4">
        <f t="shared" si="3"/>
        <v>4.8641314131650522E-2</v>
      </c>
    </row>
    <row r="20" spans="1:10">
      <c r="A20" s="18" t="s">
        <v>43</v>
      </c>
      <c r="B20" s="3">
        <v>7.7067719266666668</v>
      </c>
      <c r="C20" s="3">
        <v>25.670850953999999</v>
      </c>
      <c r="D20" s="3">
        <v>1.7321879579999999</v>
      </c>
      <c r="E20" s="3">
        <f t="shared" si="0"/>
        <v>35.109810838666661</v>
      </c>
      <c r="F20" s="4">
        <f t="shared" si="1"/>
        <v>0.21950479773531417</v>
      </c>
      <c r="G20" s="4">
        <f t="shared" si="2"/>
        <v>0.73115890803172667</v>
      </c>
      <c r="H20" s="4">
        <f t="shared" si="3"/>
        <v>4.9336294232959245E-2</v>
      </c>
    </row>
    <row r="21" spans="1:10">
      <c r="A21" s="18" t="s">
        <v>44</v>
      </c>
      <c r="B21" s="3">
        <v>7.7425619116666669</v>
      </c>
      <c r="C21" s="3">
        <v>25.791975881999999</v>
      </c>
      <c r="D21" s="3">
        <v>1.706560326</v>
      </c>
      <c r="E21" s="3">
        <f t="shared" si="0"/>
        <v>35.241098119666667</v>
      </c>
      <c r="F21" s="4">
        <f t="shared" si="1"/>
        <v>0.21970262916823946</v>
      </c>
      <c r="G21" s="4">
        <f t="shared" si="2"/>
        <v>0.73187208282838712</v>
      </c>
      <c r="H21" s="4">
        <f t="shared" si="3"/>
        <v>4.8425288003373423E-2</v>
      </c>
    </row>
    <row r="22" spans="1:10">
      <c r="A22" s="18" t="s">
        <v>45</v>
      </c>
      <c r="B22" s="3">
        <v>7.7205760283333333</v>
      </c>
      <c r="C22" s="3">
        <v>26.258630208</v>
      </c>
      <c r="D22" s="3">
        <v>1.7807477519999999</v>
      </c>
      <c r="E22" s="3">
        <f t="shared" si="0"/>
        <v>35.759953988333336</v>
      </c>
      <c r="F22" s="4">
        <f t="shared" si="1"/>
        <v>0.21590005487289404</v>
      </c>
      <c r="G22" s="4">
        <f t="shared" si="2"/>
        <v>0.73430268440968527</v>
      </c>
      <c r="H22" s="4">
        <f t="shared" si="3"/>
        <v>4.9797260717420605E-2</v>
      </c>
    </row>
    <row r="23" spans="1:10">
      <c r="A23" s="18" t="s">
        <v>46</v>
      </c>
      <c r="B23" s="3">
        <v>4.7750740166666663</v>
      </c>
      <c r="C23" s="3">
        <v>20.645391474</v>
      </c>
      <c r="D23" s="3">
        <v>1.45358151</v>
      </c>
      <c r="E23" s="3">
        <f t="shared" si="0"/>
        <v>26.874047000666664</v>
      </c>
      <c r="F23" s="4">
        <f t="shared" si="1"/>
        <v>0.17768347344738256</v>
      </c>
      <c r="G23" s="4">
        <f t="shared" si="2"/>
        <v>0.76822785468403221</v>
      </c>
      <c r="H23" s="4">
        <f t="shared" si="3"/>
        <v>5.4088671868585368E-2</v>
      </c>
    </row>
    <row r="24" spans="1:10">
      <c r="A24" s="18" t="s">
        <v>47</v>
      </c>
      <c r="B24" s="3">
        <v>3.5353477383333334</v>
      </c>
      <c r="C24" s="3">
        <v>16.609265376</v>
      </c>
      <c r="D24" s="3">
        <v>1.21940838</v>
      </c>
      <c r="E24" s="2">
        <f t="shared" si="0"/>
        <v>21.364021494333333</v>
      </c>
      <c r="F24" s="4">
        <f t="shared" si="1"/>
        <v>0.16548137902178489</v>
      </c>
      <c r="G24" s="4">
        <f t="shared" si="2"/>
        <v>0.77744095981206063</v>
      </c>
      <c r="H24" s="4">
        <f t="shared" si="3"/>
        <v>5.7077661166154516E-2</v>
      </c>
    </row>
    <row r="25" spans="1:10">
      <c r="B25" s="3"/>
      <c r="C25" s="3"/>
      <c r="D25" s="3"/>
      <c r="E25" s="3"/>
      <c r="F25" s="3"/>
      <c r="G25" s="3"/>
    </row>
    <row r="26" spans="1:10">
      <c r="B26" s="3"/>
      <c r="C26" s="3"/>
      <c r="D26" s="3"/>
      <c r="E26" s="3"/>
      <c r="F26" s="3"/>
      <c r="G26" s="3"/>
    </row>
    <row r="27" spans="1:10">
      <c r="B27" s="3"/>
      <c r="C27" s="3"/>
      <c r="D27" s="3"/>
      <c r="E27" s="3"/>
      <c r="F27" s="3"/>
      <c r="G27" s="3"/>
    </row>
    <row r="28" spans="1:10">
      <c r="B28" s="3"/>
      <c r="C28" s="3"/>
      <c r="D28" s="3"/>
      <c r="E28" s="3"/>
      <c r="F28" s="3"/>
      <c r="G28" s="3"/>
    </row>
    <row r="29" spans="1:10">
      <c r="B29" s="3"/>
      <c r="C29" s="3"/>
      <c r="D29" s="3"/>
      <c r="E29" s="3"/>
      <c r="F29" s="3"/>
      <c r="G29" s="3"/>
    </row>
    <row r="30" spans="1:10">
      <c r="B30" s="3"/>
      <c r="C30" s="3"/>
      <c r="D30" s="3"/>
      <c r="E30" s="3"/>
      <c r="F30" s="3"/>
      <c r="G30" s="3"/>
    </row>
    <row r="31" spans="1:10">
      <c r="B31" s="3"/>
      <c r="C31" s="3"/>
      <c r="D31" s="3"/>
      <c r="E31" s="3"/>
      <c r="F31" s="3"/>
      <c r="G31" s="3"/>
    </row>
    <row r="32" spans="1:10">
      <c r="B32" s="3"/>
      <c r="C32" s="3"/>
      <c r="D32" s="3"/>
      <c r="E32" s="3"/>
      <c r="F32" s="3"/>
      <c r="G32" s="3"/>
    </row>
    <row r="33" spans="2:7">
      <c r="B33" s="3"/>
      <c r="C33" s="3"/>
      <c r="D33" s="3"/>
      <c r="E33" s="3"/>
      <c r="F33" s="3"/>
      <c r="G33" s="3"/>
    </row>
    <row r="34" spans="2:7">
      <c r="B34" s="3"/>
      <c r="C34" s="3"/>
      <c r="D34" s="3"/>
      <c r="E34" s="3"/>
      <c r="F34" s="3"/>
      <c r="G34" s="3"/>
    </row>
    <row r="35" spans="2:7">
      <c r="B35" s="3"/>
      <c r="C35" s="3"/>
      <c r="D35" s="3"/>
      <c r="E35" s="3"/>
      <c r="F35" s="3"/>
      <c r="G35" s="3"/>
    </row>
    <row r="36" spans="2:7">
      <c r="B36" s="3"/>
      <c r="C36" s="3"/>
      <c r="D36" s="3"/>
      <c r="E36" s="3"/>
      <c r="F36" s="3"/>
      <c r="G36" s="3"/>
    </row>
    <row r="37" spans="2:7">
      <c r="B37" s="3"/>
      <c r="C37" s="3"/>
      <c r="D37" s="3"/>
      <c r="E37" s="3"/>
      <c r="F37" s="3"/>
      <c r="G37" s="3"/>
    </row>
    <row r="38" spans="2:7">
      <c r="B38" s="3"/>
      <c r="C38" s="3"/>
      <c r="D38" s="3"/>
      <c r="E38" s="3"/>
      <c r="F38" s="3"/>
      <c r="G38" s="3"/>
    </row>
    <row r="39" spans="2:7">
      <c r="B39" s="3"/>
      <c r="C39" s="3"/>
      <c r="D39" s="3"/>
      <c r="E39" s="3"/>
      <c r="F39" s="3"/>
      <c r="G39" s="3"/>
    </row>
    <row r="40" spans="2:7">
      <c r="B40" s="3"/>
      <c r="C40" s="3"/>
      <c r="D40" s="3"/>
      <c r="E40" s="3"/>
      <c r="F40" s="3"/>
      <c r="G40" s="3"/>
    </row>
    <row r="41" spans="2:7">
      <c r="B41" s="3"/>
      <c r="C41" s="3"/>
      <c r="D41" s="3"/>
      <c r="E41" s="3"/>
      <c r="F41" s="3"/>
      <c r="G41" s="3"/>
    </row>
    <row r="42" spans="2:7">
      <c r="B42" s="3"/>
      <c r="C42" s="3"/>
      <c r="D42" s="3"/>
      <c r="E42" s="3"/>
      <c r="F42" s="3"/>
      <c r="G42" s="3"/>
    </row>
    <row r="43" spans="2:7">
      <c r="B43" s="3"/>
      <c r="C43" s="3"/>
      <c r="D43" s="3"/>
      <c r="E43" s="3"/>
      <c r="F43" s="3"/>
      <c r="G43" s="3"/>
    </row>
    <row r="44" spans="2:7">
      <c r="B44" s="3"/>
      <c r="C44" s="3"/>
      <c r="D44" s="3"/>
      <c r="E44" s="3"/>
      <c r="F44" s="3"/>
      <c r="G44" s="3"/>
    </row>
    <row r="45" spans="2:7">
      <c r="B45" s="3"/>
      <c r="C45" s="3"/>
      <c r="D45" s="3"/>
      <c r="E45" s="3"/>
      <c r="F45" s="3"/>
      <c r="G45" s="3"/>
    </row>
    <row r="46" spans="2:7">
      <c r="B46" s="3"/>
      <c r="C46" s="3"/>
      <c r="D46" s="3"/>
      <c r="E46" s="3"/>
      <c r="F46" s="3"/>
      <c r="G46" s="3"/>
    </row>
    <row r="47" spans="2:7">
      <c r="B47" s="3"/>
      <c r="C47" s="3"/>
      <c r="D47" s="3"/>
      <c r="E47" s="3"/>
      <c r="F47" s="3"/>
      <c r="G47" s="3"/>
    </row>
    <row r="48" spans="2:7">
      <c r="E48" s="3"/>
      <c r="F48" s="3"/>
      <c r="G48" s="3"/>
    </row>
    <row r="49" spans="5:7">
      <c r="E49" s="3"/>
      <c r="F49" s="3"/>
      <c r="G49" s="3"/>
    </row>
    <row r="50" spans="5:7">
      <c r="E50" s="3"/>
      <c r="F50" s="3"/>
      <c r="G50" s="3"/>
    </row>
  </sheetData>
  <pageMargins left="0.7" right="0.7" top="0.75" bottom="0.75" header="0.3" footer="0.3"/>
  <pageSetup orientation="portrait" r:id="rId1"/>
  <headerFooter>
    <oddFooter>&amp;L&amp;1#&amp;"Arial"&amp;7&amp;K000000***Este documento está clasificado como PUBLICO por TELEFÓNICA. ***This document is classified as PUBLIC by TELEFÓNICA.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A6D88A"/>
  </sheetPr>
  <dimension ref="A1:H320"/>
  <sheetViews>
    <sheetView showGridLines="0" zoomScale="85" zoomScaleNormal="85" workbookViewId="0">
      <selection activeCell="A12" sqref="A12"/>
    </sheetView>
  </sheetViews>
  <sheetFormatPr defaultColWidth="11.42578125" defaultRowHeight="15"/>
  <cols>
    <col min="1" max="1" width="10.28515625" style="17" bestFit="1" customWidth="1"/>
    <col min="2" max="2" width="11.42578125" style="1" bestFit="1" customWidth="1"/>
    <col min="3" max="4" width="7.140625" style="1" customWidth="1"/>
    <col min="5" max="7" width="7.28515625" customWidth="1"/>
  </cols>
  <sheetData>
    <row r="1" spans="1:4">
      <c r="A1" s="17" t="s">
        <v>0</v>
      </c>
      <c r="B1" s="1" t="s">
        <v>57</v>
      </c>
      <c r="C1"/>
      <c r="D1"/>
    </row>
    <row r="2" spans="1:4">
      <c r="A2" s="18" t="s">
        <v>25</v>
      </c>
      <c r="B2" s="3">
        <v>147.03574236099939</v>
      </c>
      <c r="C2"/>
      <c r="D2"/>
    </row>
    <row r="3" spans="1:4">
      <c r="A3" s="18" t="s">
        <v>26</v>
      </c>
      <c r="B3" s="7">
        <v>137.89403222417513</v>
      </c>
      <c r="C3"/>
      <c r="D3" s="16" t="str">
        <f>IF(ROUND(((ROUND(B24,1)/ROUND(B3,1)-1)*100),0)=0,"0%",CONCATENATE(IF(SIGN(ROUND(B24,1)/ROUND(B3,1)-1)=1,"+","-"),ABS(ROUND(100*(ROUND(B24,1)/ROUND(B3,1)-1),0)),"%"))</f>
        <v>-2%</v>
      </c>
    </row>
    <row r="4" spans="1:4">
      <c r="A4" s="18" t="s">
        <v>27</v>
      </c>
      <c r="B4" s="3">
        <v>156.06100216573486</v>
      </c>
      <c r="C4"/>
      <c r="D4"/>
    </row>
    <row r="5" spans="1:4">
      <c r="A5" s="18" t="s">
        <v>28</v>
      </c>
      <c r="B5" s="3">
        <v>150.6972733594057</v>
      </c>
      <c r="C5"/>
      <c r="D5"/>
    </row>
    <row r="6" spans="1:4">
      <c r="A6" s="18" t="s">
        <v>29</v>
      </c>
      <c r="B6" s="3">
        <v>147.59889988704253</v>
      </c>
      <c r="C6"/>
      <c r="D6"/>
    </row>
    <row r="7" spans="1:4">
      <c r="A7" s="18" t="s">
        <v>30</v>
      </c>
      <c r="B7" s="3">
        <v>152.59716092280814</v>
      </c>
      <c r="C7"/>
      <c r="D7"/>
    </row>
    <row r="8" spans="1:4">
      <c r="A8" s="18" t="s">
        <v>31</v>
      </c>
      <c r="B8" s="3">
        <v>153.18018405954535</v>
      </c>
      <c r="C8"/>
      <c r="D8"/>
    </row>
    <row r="9" spans="1:4">
      <c r="A9" s="18" t="s">
        <v>32</v>
      </c>
      <c r="B9" s="3">
        <v>143.79328240710311</v>
      </c>
      <c r="C9"/>
      <c r="D9"/>
    </row>
    <row r="10" spans="1:4">
      <c r="A10" s="18" t="s">
        <v>33</v>
      </c>
      <c r="B10" s="3">
        <v>137.30140283531546</v>
      </c>
      <c r="C10"/>
      <c r="D10"/>
    </row>
    <row r="11" spans="1:4">
      <c r="A11" s="18" t="s">
        <v>34</v>
      </c>
      <c r="B11" s="3">
        <v>148.74194690933928</v>
      </c>
      <c r="C11"/>
      <c r="D11"/>
    </row>
    <row r="12" spans="1:4">
      <c r="A12" s="18" t="s">
        <v>35</v>
      </c>
      <c r="B12" s="3">
        <v>149.96224115871064</v>
      </c>
      <c r="C12"/>
      <c r="D12"/>
    </row>
    <row r="13" spans="1:4">
      <c r="A13" s="18" t="s">
        <v>36</v>
      </c>
      <c r="B13" s="3">
        <v>145.97672906029493</v>
      </c>
      <c r="C13"/>
      <c r="D13"/>
    </row>
    <row r="14" spans="1:4">
      <c r="A14" s="18" t="s">
        <v>37</v>
      </c>
      <c r="B14" s="3">
        <v>147.87792532076855</v>
      </c>
      <c r="C14"/>
      <c r="D14"/>
    </row>
    <row r="15" spans="1:4">
      <c r="A15" s="18" t="s">
        <v>38</v>
      </c>
      <c r="B15" s="3">
        <v>149.59452022692585</v>
      </c>
      <c r="C15"/>
      <c r="D15"/>
    </row>
    <row r="16" spans="1:4">
      <c r="A16" s="18" t="s">
        <v>39</v>
      </c>
      <c r="B16" s="3">
        <v>141.01873174804859</v>
      </c>
      <c r="C16"/>
      <c r="D16"/>
    </row>
    <row r="17" spans="1:8">
      <c r="A17" s="18" t="s">
        <v>40</v>
      </c>
      <c r="B17" s="7">
        <v>135.28448236725671</v>
      </c>
      <c r="C17"/>
      <c r="D17" s="16" t="str">
        <f>IF(ROUND(((ROUND(B24,1)/ROUND(B17,1)-1)*100),0)=0,"0%",CONCATENATE(IF(SIGN(ROUND(B24,1)/ROUND(B17,1)-1)=1,"+","-"),ABS(ROUND(100*(ROUND(B24,1)/ROUND(B17,1)-1),0)),"%"))</f>
        <v>0%</v>
      </c>
    </row>
    <row r="18" spans="1:8">
      <c r="A18" s="18" t="s">
        <v>41</v>
      </c>
      <c r="B18" s="3">
        <v>135.96190027355624</v>
      </c>
      <c r="C18"/>
      <c r="D18"/>
    </row>
    <row r="19" spans="1:8">
      <c r="A19" s="18" t="s">
        <v>42</v>
      </c>
      <c r="B19" s="3">
        <v>147.62182079269041</v>
      </c>
      <c r="C19"/>
      <c r="D19"/>
    </row>
    <row r="20" spans="1:8">
      <c r="A20" s="18" t="s">
        <v>43</v>
      </c>
      <c r="B20" s="3">
        <v>146.92094715382518</v>
      </c>
      <c r="C20"/>
      <c r="D20"/>
    </row>
    <row r="21" spans="1:8">
      <c r="A21" s="18" t="s">
        <v>44</v>
      </c>
      <c r="B21" s="3">
        <v>147.55480015209014</v>
      </c>
      <c r="C21"/>
      <c r="D21"/>
    </row>
    <row r="22" spans="1:8">
      <c r="A22" s="18" t="s">
        <v>45</v>
      </c>
      <c r="B22" s="3">
        <v>151.55109322556746</v>
      </c>
      <c r="C22"/>
      <c r="D22"/>
    </row>
    <row r="23" spans="1:8">
      <c r="A23" s="18" t="s">
        <v>46</v>
      </c>
      <c r="B23" s="3">
        <v>145.53766932134295</v>
      </c>
      <c r="C23"/>
      <c r="D23"/>
    </row>
    <row r="24" spans="1:8">
      <c r="A24" s="18" t="s">
        <v>47</v>
      </c>
      <c r="B24" s="7">
        <v>135.7853868987977</v>
      </c>
      <c r="C24"/>
      <c r="D24"/>
      <c r="H24" s="4"/>
    </row>
    <row r="25" spans="1:8">
      <c r="B25" s="3"/>
      <c r="C25" s="3"/>
      <c r="D25" s="3"/>
      <c r="E25" s="3"/>
    </row>
    <row r="26" spans="1:8">
      <c r="B26" s="3"/>
      <c r="C26" s="3"/>
      <c r="D26" s="3"/>
      <c r="E26" s="3"/>
    </row>
    <row r="27" spans="1:8">
      <c r="B27" s="3"/>
      <c r="C27" s="3"/>
      <c r="D27" s="3"/>
      <c r="E27" s="3"/>
    </row>
    <row r="28" spans="1:8">
      <c r="B28" s="3"/>
      <c r="C28" s="3"/>
      <c r="D28" s="3"/>
      <c r="E28" s="3"/>
    </row>
    <row r="29" spans="1:8">
      <c r="B29" s="3"/>
      <c r="C29" s="3"/>
      <c r="D29" s="3"/>
      <c r="E29" s="3"/>
    </row>
    <row r="30" spans="1:8">
      <c r="B30" s="3"/>
      <c r="C30" s="3"/>
      <c r="D30" s="3"/>
      <c r="E30" s="3"/>
    </row>
    <row r="31" spans="1:8">
      <c r="B31" s="3"/>
      <c r="C31" s="3"/>
      <c r="D31" s="3"/>
      <c r="E31" s="3"/>
    </row>
    <row r="32" spans="1:8">
      <c r="B32" s="3"/>
      <c r="C32" s="3"/>
      <c r="D32" s="3"/>
      <c r="E32" s="3"/>
    </row>
    <row r="33" spans="2:5">
      <c r="B33" s="3"/>
      <c r="C33" s="3"/>
      <c r="D33" s="3"/>
      <c r="E33" s="3"/>
    </row>
    <row r="34" spans="2:5">
      <c r="B34" s="3"/>
      <c r="C34" s="3"/>
      <c r="D34" s="3"/>
      <c r="E34" s="3"/>
    </row>
    <row r="35" spans="2:5">
      <c r="B35" s="3"/>
      <c r="C35" s="3"/>
      <c r="D35" s="3"/>
    </row>
    <row r="36" spans="2:5">
      <c r="B36" s="3"/>
      <c r="C36" s="3"/>
      <c r="D36" s="3"/>
    </row>
    <row r="37" spans="2:5">
      <c r="B37" s="3"/>
      <c r="C37" s="3"/>
      <c r="D37" s="3"/>
    </row>
    <row r="38" spans="2:5">
      <c r="B38" s="3"/>
      <c r="C38" s="3"/>
      <c r="D38" s="3"/>
    </row>
    <row r="39" spans="2:5">
      <c r="B39" s="3"/>
      <c r="C39" s="3"/>
      <c r="D39" s="3"/>
    </row>
    <row r="40" spans="2:5">
      <c r="B40" s="3"/>
      <c r="C40" s="3"/>
      <c r="D40" s="3"/>
    </row>
    <row r="41" spans="2:5">
      <c r="B41" s="3"/>
      <c r="C41" s="6"/>
      <c r="D41" s="6"/>
    </row>
    <row r="42" spans="2:5">
      <c r="B42" s="3"/>
      <c r="C42" s="6"/>
      <c r="D42" s="6"/>
    </row>
    <row r="43" spans="2:5">
      <c r="B43" s="3"/>
      <c r="C43" s="6"/>
      <c r="D43" s="6"/>
    </row>
    <row r="44" spans="2:5">
      <c r="B44" s="3"/>
      <c r="C44" s="6"/>
      <c r="D44" s="6"/>
    </row>
    <row r="45" spans="2:5">
      <c r="B45" s="3"/>
      <c r="C45"/>
      <c r="D45"/>
    </row>
    <row r="46" spans="2:5">
      <c r="B46" s="3"/>
      <c r="C46"/>
      <c r="D46"/>
    </row>
    <row r="47" spans="2:5">
      <c r="B47" s="3"/>
      <c r="C47"/>
      <c r="D47"/>
    </row>
    <row r="48" spans="2:5">
      <c r="B48" s="3"/>
      <c r="C48"/>
      <c r="D48"/>
    </row>
    <row r="49" spans="2:4">
      <c r="B49" s="3"/>
      <c r="C49"/>
      <c r="D49"/>
    </row>
    <row r="50" spans="2:4">
      <c r="B50" s="3"/>
      <c r="C50"/>
      <c r="D50"/>
    </row>
    <row r="51" spans="2:4">
      <c r="B51" s="3"/>
      <c r="C51"/>
      <c r="D51"/>
    </row>
    <row r="52" spans="2:4">
      <c r="B52" s="3"/>
      <c r="C52"/>
      <c r="D52"/>
    </row>
    <row r="53" spans="2:4">
      <c r="B53" s="3"/>
      <c r="C53"/>
      <c r="D53"/>
    </row>
    <row r="54" spans="2:4">
      <c r="B54" s="3"/>
      <c r="C54"/>
      <c r="D54"/>
    </row>
    <row r="55" spans="2:4">
      <c r="B55" s="3"/>
      <c r="C55"/>
      <c r="D55"/>
    </row>
    <row r="56" spans="2:4">
      <c r="B56" s="3"/>
      <c r="C56"/>
      <c r="D56"/>
    </row>
    <row r="57" spans="2:4">
      <c r="B57" s="3"/>
      <c r="C57"/>
      <c r="D57"/>
    </row>
    <row r="58" spans="2:4">
      <c r="B58" s="3"/>
      <c r="C58"/>
      <c r="D58"/>
    </row>
    <row r="59" spans="2:4">
      <c r="B59" s="3"/>
      <c r="C59"/>
      <c r="D59"/>
    </row>
    <row r="60" spans="2:4">
      <c r="B60" s="3"/>
      <c r="C60"/>
      <c r="D60"/>
    </row>
    <row r="61" spans="2:4">
      <c r="B61" s="3"/>
      <c r="C61"/>
      <c r="D61"/>
    </row>
    <row r="62" spans="2:4">
      <c r="B62" s="3"/>
      <c r="C62"/>
      <c r="D62"/>
    </row>
    <row r="63" spans="2:4">
      <c r="B63" s="3"/>
      <c r="C63"/>
      <c r="D63"/>
    </row>
    <row r="64" spans="2:4">
      <c r="B64" s="3"/>
      <c r="C64"/>
      <c r="D64"/>
    </row>
    <row r="65" spans="2:4">
      <c r="B65" s="3"/>
      <c r="C65"/>
      <c r="D65"/>
    </row>
    <row r="66" spans="2:4">
      <c r="B66" s="3"/>
      <c r="C66"/>
      <c r="D66"/>
    </row>
    <row r="67" spans="2:4">
      <c r="B67" s="3"/>
      <c r="C67"/>
      <c r="D67"/>
    </row>
    <row r="68" spans="2:4">
      <c r="B68" s="3"/>
      <c r="C68"/>
      <c r="D68"/>
    </row>
    <row r="69" spans="2:4">
      <c r="B69" s="3"/>
      <c r="C69"/>
      <c r="D69"/>
    </row>
    <row r="70" spans="2:4">
      <c r="B70" s="3"/>
      <c r="C70"/>
      <c r="D70"/>
    </row>
    <row r="71" spans="2:4">
      <c r="B71" s="3"/>
      <c r="C71"/>
      <c r="D71"/>
    </row>
    <row r="72" spans="2:4">
      <c r="B72" s="3"/>
      <c r="C72"/>
      <c r="D72"/>
    </row>
    <row r="73" spans="2:4">
      <c r="B73" s="3"/>
      <c r="C73"/>
      <c r="D73"/>
    </row>
    <row r="74" spans="2:4">
      <c r="B74" s="3"/>
      <c r="C74"/>
      <c r="D74"/>
    </row>
    <row r="75" spans="2:4">
      <c r="B75" s="3"/>
      <c r="C75"/>
      <c r="D75"/>
    </row>
    <row r="76" spans="2:4">
      <c r="B76" s="3"/>
      <c r="C76"/>
      <c r="D76"/>
    </row>
    <row r="77" spans="2:4">
      <c r="B77" s="3"/>
      <c r="C77"/>
      <c r="D77"/>
    </row>
    <row r="78" spans="2:4">
      <c r="B78" s="3"/>
      <c r="C78"/>
      <c r="D78"/>
    </row>
    <row r="79" spans="2:4">
      <c r="B79" s="3"/>
      <c r="C79"/>
      <c r="D79"/>
    </row>
    <row r="80" spans="2:4">
      <c r="B80" s="3"/>
      <c r="C80"/>
      <c r="D80"/>
    </row>
    <row r="81" spans="2:4">
      <c r="B81" s="3"/>
      <c r="C81"/>
      <c r="D81"/>
    </row>
    <row r="82" spans="2:4">
      <c r="B82" s="3"/>
      <c r="C82"/>
      <c r="D82"/>
    </row>
    <row r="83" spans="2:4">
      <c r="B83" s="3"/>
      <c r="C83"/>
      <c r="D83"/>
    </row>
    <row r="84" spans="2:4">
      <c r="B84" s="3"/>
      <c r="C84"/>
      <c r="D84"/>
    </row>
    <row r="85" spans="2:4">
      <c r="B85" s="3"/>
      <c r="C85"/>
      <c r="D85"/>
    </row>
    <row r="86" spans="2:4">
      <c r="B86" s="3"/>
      <c r="C86"/>
      <c r="D86"/>
    </row>
    <row r="87" spans="2:4">
      <c r="B87" s="3"/>
      <c r="C87"/>
      <c r="D87"/>
    </row>
    <row r="88" spans="2:4">
      <c r="B88" s="3"/>
      <c r="C88"/>
      <c r="D88"/>
    </row>
    <row r="89" spans="2:4">
      <c r="B89" s="3"/>
      <c r="C89"/>
      <c r="D89"/>
    </row>
    <row r="90" spans="2:4">
      <c r="B90" s="3"/>
      <c r="C90"/>
      <c r="D90"/>
    </row>
    <row r="91" spans="2:4">
      <c r="B91" s="3"/>
      <c r="C91"/>
      <c r="D91"/>
    </row>
    <row r="92" spans="2:4">
      <c r="B92" s="3"/>
      <c r="C92"/>
      <c r="D92"/>
    </row>
    <row r="93" spans="2:4">
      <c r="B93" s="3"/>
      <c r="C93"/>
      <c r="D93"/>
    </row>
    <row r="94" spans="2:4">
      <c r="B94" s="3"/>
      <c r="C94"/>
      <c r="D94"/>
    </row>
    <row r="95" spans="2:4">
      <c r="B95" s="3"/>
      <c r="C95"/>
      <c r="D95"/>
    </row>
    <row r="96" spans="2:4">
      <c r="B96" s="3"/>
      <c r="C96"/>
      <c r="D96"/>
    </row>
    <row r="97" spans="2:4">
      <c r="B97" s="3"/>
      <c r="C97"/>
      <c r="D97"/>
    </row>
    <row r="98" spans="2:4">
      <c r="B98" s="3"/>
      <c r="C98"/>
      <c r="D98"/>
    </row>
    <row r="99" spans="2:4">
      <c r="B99" s="3"/>
      <c r="C99"/>
      <c r="D99"/>
    </row>
    <row r="100" spans="2:4">
      <c r="B100" s="3"/>
      <c r="C100"/>
      <c r="D100"/>
    </row>
    <row r="101" spans="2:4">
      <c r="B101" s="3"/>
      <c r="C101"/>
      <c r="D101"/>
    </row>
    <row r="102" spans="2:4">
      <c r="B102" s="3"/>
      <c r="C102"/>
      <c r="D102"/>
    </row>
    <row r="103" spans="2:4">
      <c r="B103" s="3"/>
      <c r="C103"/>
      <c r="D103"/>
    </row>
    <row r="104" spans="2:4">
      <c r="B104" s="3"/>
      <c r="C104"/>
      <c r="D104"/>
    </row>
    <row r="105" spans="2:4">
      <c r="B105" s="3"/>
      <c r="C105"/>
      <c r="D105"/>
    </row>
    <row r="106" spans="2:4">
      <c r="B106" s="3"/>
      <c r="C106"/>
      <c r="D106"/>
    </row>
    <row r="107" spans="2:4">
      <c r="B107" s="3"/>
      <c r="C107"/>
      <c r="D107"/>
    </row>
    <row r="108" spans="2:4">
      <c r="B108" s="3"/>
      <c r="C108"/>
      <c r="D108"/>
    </row>
    <row r="109" spans="2:4">
      <c r="B109" s="3"/>
      <c r="C109"/>
      <c r="D109"/>
    </row>
    <row r="110" spans="2:4">
      <c r="B110" s="3"/>
      <c r="C110"/>
      <c r="D110"/>
    </row>
    <row r="111" spans="2:4">
      <c r="B111" s="3"/>
      <c r="C111"/>
      <c r="D111"/>
    </row>
    <row r="112" spans="2:4">
      <c r="B112" s="3"/>
      <c r="C112"/>
      <c r="D112"/>
    </row>
    <row r="113" spans="2:4">
      <c r="B113" s="3"/>
      <c r="C113"/>
      <c r="D113"/>
    </row>
    <row r="114" spans="2:4">
      <c r="B114" s="3"/>
      <c r="C114"/>
      <c r="D114"/>
    </row>
    <row r="115" spans="2:4">
      <c r="B115" s="3"/>
      <c r="C115"/>
      <c r="D115"/>
    </row>
    <row r="116" spans="2:4">
      <c r="B116" s="3"/>
      <c r="C116"/>
      <c r="D116"/>
    </row>
    <row r="117" spans="2:4">
      <c r="B117" s="3"/>
      <c r="C117"/>
      <c r="D117"/>
    </row>
    <row r="118" spans="2:4">
      <c r="B118" s="3"/>
      <c r="C118"/>
      <c r="D118"/>
    </row>
    <row r="119" spans="2:4">
      <c r="B119" s="3"/>
      <c r="C119"/>
      <c r="D119"/>
    </row>
    <row r="120" spans="2:4">
      <c r="B120" s="3"/>
      <c r="C120"/>
      <c r="D120"/>
    </row>
    <row r="121" spans="2:4">
      <c r="B121" s="3"/>
      <c r="C121"/>
      <c r="D121"/>
    </row>
    <row r="122" spans="2:4">
      <c r="B122" s="3"/>
      <c r="C122"/>
      <c r="D122"/>
    </row>
    <row r="123" spans="2:4">
      <c r="B123" s="3"/>
      <c r="C123"/>
      <c r="D123"/>
    </row>
    <row r="124" spans="2:4">
      <c r="B124" s="3"/>
      <c r="C124"/>
      <c r="D124"/>
    </row>
    <row r="125" spans="2:4">
      <c r="B125" s="3"/>
      <c r="C125"/>
      <c r="D125"/>
    </row>
    <row r="126" spans="2:4">
      <c r="B126" s="3"/>
      <c r="C126"/>
      <c r="D126"/>
    </row>
    <row r="127" spans="2:4">
      <c r="B127" s="3"/>
      <c r="C127"/>
      <c r="D127"/>
    </row>
    <row r="128" spans="2:4">
      <c r="B128" s="3"/>
      <c r="C128"/>
      <c r="D128"/>
    </row>
    <row r="129" spans="2:4">
      <c r="B129" s="3"/>
      <c r="C129"/>
      <c r="D129"/>
    </row>
    <row r="130" spans="2:4">
      <c r="B130" s="3"/>
      <c r="C130"/>
      <c r="D130"/>
    </row>
    <row r="131" spans="2:4">
      <c r="B131" s="3"/>
      <c r="C131"/>
      <c r="D131"/>
    </row>
    <row r="132" spans="2:4">
      <c r="B132" s="3"/>
      <c r="C132"/>
      <c r="D132"/>
    </row>
    <row r="133" spans="2:4">
      <c r="B133" s="3"/>
      <c r="C133"/>
      <c r="D133"/>
    </row>
    <row r="134" spans="2:4">
      <c r="B134" s="3"/>
      <c r="C134"/>
      <c r="D134"/>
    </row>
    <row r="135" spans="2:4">
      <c r="B135" s="3"/>
      <c r="C135"/>
      <c r="D135"/>
    </row>
    <row r="136" spans="2:4">
      <c r="B136" s="3"/>
      <c r="C136"/>
      <c r="D136"/>
    </row>
    <row r="137" spans="2:4">
      <c r="B137" s="3"/>
      <c r="C137"/>
      <c r="D137"/>
    </row>
    <row r="138" spans="2:4">
      <c r="B138" s="3"/>
      <c r="C138"/>
      <c r="D138"/>
    </row>
    <row r="139" spans="2:4">
      <c r="B139" s="3"/>
      <c r="C139"/>
      <c r="D139"/>
    </row>
    <row r="140" spans="2:4">
      <c r="B140" s="3"/>
      <c r="C140"/>
      <c r="D140"/>
    </row>
    <row r="141" spans="2:4">
      <c r="B141" s="3"/>
      <c r="C141"/>
      <c r="D141"/>
    </row>
    <row r="142" spans="2:4">
      <c r="B142" s="3"/>
      <c r="C142"/>
      <c r="D142"/>
    </row>
    <row r="143" spans="2:4">
      <c r="B143" s="3"/>
      <c r="C143"/>
      <c r="D143"/>
    </row>
    <row r="144" spans="2:4">
      <c r="B144" s="3"/>
      <c r="C144"/>
      <c r="D144"/>
    </row>
    <row r="145" spans="2:4">
      <c r="B145" s="3"/>
      <c r="C145"/>
      <c r="D145"/>
    </row>
    <row r="146" spans="2:4">
      <c r="B146" s="3"/>
      <c r="C146"/>
      <c r="D146"/>
    </row>
    <row r="147" spans="2:4">
      <c r="B147" s="3"/>
      <c r="C147"/>
      <c r="D147"/>
    </row>
    <row r="148" spans="2:4">
      <c r="B148" s="3"/>
      <c r="C148"/>
      <c r="D148"/>
    </row>
    <row r="149" spans="2:4">
      <c r="B149" s="3"/>
      <c r="C149"/>
      <c r="D149"/>
    </row>
    <row r="150" spans="2:4">
      <c r="B150" s="3"/>
      <c r="C150"/>
      <c r="D150"/>
    </row>
    <row r="151" spans="2:4">
      <c r="B151" s="3"/>
      <c r="C151"/>
      <c r="D151"/>
    </row>
    <row r="152" spans="2:4">
      <c r="B152" s="3"/>
      <c r="C152"/>
      <c r="D152"/>
    </row>
    <row r="153" spans="2:4">
      <c r="B153" s="3"/>
      <c r="C153"/>
      <c r="D153"/>
    </row>
    <row r="154" spans="2:4">
      <c r="B154" s="3"/>
      <c r="C154"/>
      <c r="D154"/>
    </row>
    <row r="155" spans="2:4">
      <c r="B155" s="3"/>
      <c r="C155"/>
      <c r="D155"/>
    </row>
    <row r="156" spans="2:4">
      <c r="B156" s="3"/>
      <c r="C156"/>
      <c r="D156"/>
    </row>
    <row r="157" spans="2:4">
      <c r="B157" s="3"/>
      <c r="C157"/>
      <c r="D157"/>
    </row>
    <row r="158" spans="2:4">
      <c r="B158" s="3"/>
      <c r="C158"/>
      <c r="D158"/>
    </row>
    <row r="159" spans="2:4">
      <c r="B159" s="3"/>
      <c r="C159"/>
      <c r="D159"/>
    </row>
    <row r="160" spans="2:4">
      <c r="B160" s="3"/>
      <c r="C160"/>
      <c r="D160"/>
    </row>
    <row r="161" spans="2:4">
      <c r="B161" s="3"/>
      <c r="C161"/>
      <c r="D161"/>
    </row>
    <row r="162" spans="2:4">
      <c r="B162" s="3"/>
      <c r="C162"/>
      <c r="D162"/>
    </row>
    <row r="163" spans="2:4">
      <c r="B163" s="3"/>
      <c r="C163"/>
      <c r="D163"/>
    </row>
    <row r="164" spans="2:4">
      <c r="B164" s="3"/>
      <c r="C164"/>
      <c r="D164"/>
    </row>
    <row r="165" spans="2:4">
      <c r="B165" s="3"/>
      <c r="C165"/>
      <c r="D165"/>
    </row>
    <row r="166" spans="2:4">
      <c r="B166" s="3"/>
      <c r="C166"/>
      <c r="D166"/>
    </row>
    <row r="167" spans="2:4">
      <c r="B167" s="3"/>
      <c r="C167"/>
      <c r="D167"/>
    </row>
    <row r="168" spans="2:4">
      <c r="B168" s="3"/>
      <c r="C168"/>
      <c r="D168"/>
    </row>
    <row r="169" spans="2:4">
      <c r="B169" s="3"/>
      <c r="C169"/>
      <c r="D169"/>
    </row>
    <row r="170" spans="2:4">
      <c r="B170" s="3"/>
      <c r="C170"/>
      <c r="D170"/>
    </row>
    <row r="171" spans="2:4">
      <c r="B171" s="3"/>
      <c r="C171"/>
      <c r="D171"/>
    </row>
    <row r="172" spans="2:4">
      <c r="B172" s="3"/>
      <c r="C172"/>
      <c r="D172"/>
    </row>
    <row r="173" spans="2:4">
      <c r="B173" s="3"/>
      <c r="C173"/>
      <c r="D173"/>
    </row>
    <row r="174" spans="2:4">
      <c r="B174" s="3"/>
      <c r="C174"/>
      <c r="D174"/>
    </row>
    <row r="175" spans="2:4">
      <c r="B175" s="3"/>
      <c r="C175"/>
      <c r="D175"/>
    </row>
    <row r="176" spans="2:4">
      <c r="B176" s="3"/>
      <c r="C176"/>
      <c r="D176"/>
    </row>
    <row r="177" spans="2:4">
      <c r="B177" s="3"/>
      <c r="C177"/>
      <c r="D177"/>
    </row>
    <row r="178" spans="2:4">
      <c r="B178" s="3"/>
      <c r="C178"/>
      <c r="D178"/>
    </row>
    <row r="179" spans="2:4">
      <c r="B179" s="3"/>
      <c r="C179"/>
      <c r="D179"/>
    </row>
    <row r="180" spans="2:4">
      <c r="B180" s="3"/>
      <c r="C180"/>
      <c r="D180"/>
    </row>
    <row r="181" spans="2:4">
      <c r="B181" s="3"/>
      <c r="C181"/>
      <c r="D181"/>
    </row>
    <row r="182" spans="2:4">
      <c r="B182" s="3"/>
      <c r="C182"/>
      <c r="D182"/>
    </row>
    <row r="183" spans="2:4">
      <c r="B183" s="3"/>
      <c r="C183"/>
      <c r="D183"/>
    </row>
    <row r="184" spans="2:4">
      <c r="C184"/>
      <c r="D184"/>
    </row>
    <row r="185" spans="2:4">
      <c r="C185"/>
      <c r="D185"/>
    </row>
    <row r="186" spans="2:4">
      <c r="C186"/>
      <c r="D186"/>
    </row>
    <row r="187" spans="2:4">
      <c r="C187"/>
      <c r="D187"/>
    </row>
    <row r="188" spans="2:4">
      <c r="C188"/>
      <c r="D188"/>
    </row>
    <row r="189" spans="2:4">
      <c r="C189"/>
      <c r="D189"/>
    </row>
    <row r="190" spans="2:4">
      <c r="C190"/>
      <c r="D190"/>
    </row>
    <row r="191" spans="2:4">
      <c r="C191"/>
      <c r="D191"/>
    </row>
    <row r="192" spans="2:4">
      <c r="C192"/>
      <c r="D192"/>
    </row>
    <row r="193" spans="3:4">
      <c r="C193"/>
      <c r="D193"/>
    </row>
    <row r="194" spans="3:4">
      <c r="C194"/>
      <c r="D194"/>
    </row>
    <row r="195" spans="3:4">
      <c r="C195"/>
      <c r="D195"/>
    </row>
    <row r="196" spans="3:4">
      <c r="C196"/>
      <c r="D196"/>
    </row>
    <row r="197" spans="3:4">
      <c r="C197"/>
      <c r="D197"/>
    </row>
    <row r="198" spans="3:4">
      <c r="C198"/>
      <c r="D198"/>
    </row>
    <row r="199" spans="3:4">
      <c r="C199"/>
      <c r="D199"/>
    </row>
    <row r="200" spans="3:4">
      <c r="C200"/>
      <c r="D200"/>
    </row>
    <row r="201" spans="3:4">
      <c r="C201"/>
      <c r="D201"/>
    </row>
    <row r="202" spans="3:4">
      <c r="C202"/>
      <c r="D202"/>
    </row>
    <row r="203" spans="3:4">
      <c r="C203"/>
      <c r="D203"/>
    </row>
    <row r="204" spans="3:4">
      <c r="C204"/>
      <c r="D204"/>
    </row>
    <row r="205" spans="3:4">
      <c r="C205"/>
      <c r="D205"/>
    </row>
    <row r="206" spans="3:4">
      <c r="C206"/>
      <c r="D206"/>
    </row>
    <row r="207" spans="3:4">
      <c r="C207"/>
      <c r="D207"/>
    </row>
    <row r="208" spans="3:4">
      <c r="C208"/>
      <c r="D208"/>
    </row>
    <row r="209" spans="3:4">
      <c r="C209"/>
      <c r="D209"/>
    </row>
    <row r="210" spans="3:4">
      <c r="C210"/>
      <c r="D210"/>
    </row>
    <row r="211" spans="3:4">
      <c r="C211"/>
      <c r="D211"/>
    </row>
    <row r="212" spans="3:4">
      <c r="C212"/>
      <c r="D212"/>
    </row>
    <row r="213" spans="3:4">
      <c r="C213"/>
      <c r="D213"/>
    </row>
    <row r="214" spans="3:4">
      <c r="C214"/>
      <c r="D214"/>
    </row>
    <row r="215" spans="3:4">
      <c r="C215"/>
      <c r="D215"/>
    </row>
    <row r="216" spans="3:4">
      <c r="C216"/>
      <c r="D216"/>
    </row>
    <row r="217" spans="3:4">
      <c r="C217"/>
      <c r="D217"/>
    </row>
    <row r="218" spans="3:4">
      <c r="C218"/>
      <c r="D218"/>
    </row>
    <row r="219" spans="3:4">
      <c r="C219"/>
      <c r="D219"/>
    </row>
    <row r="220" spans="3:4">
      <c r="C220"/>
      <c r="D220"/>
    </row>
    <row r="221" spans="3:4">
      <c r="C221"/>
      <c r="D221"/>
    </row>
    <row r="222" spans="3:4">
      <c r="C222"/>
      <c r="D222"/>
    </row>
    <row r="223" spans="3:4">
      <c r="C223"/>
      <c r="D223"/>
    </row>
    <row r="224" spans="3:4">
      <c r="C224"/>
      <c r="D224"/>
    </row>
    <row r="225" spans="3:4">
      <c r="C225"/>
      <c r="D225"/>
    </row>
    <row r="226" spans="3:4">
      <c r="C226"/>
      <c r="D226"/>
    </row>
    <row r="227" spans="3:4">
      <c r="C227"/>
      <c r="D227"/>
    </row>
    <row r="228" spans="3:4">
      <c r="C228"/>
      <c r="D228"/>
    </row>
    <row r="229" spans="3:4">
      <c r="C229"/>
      <c r="D229"/>
    </row>
    <row r="230" spans="3:4">
      <c r="C230"/>
      <c r="D230"/>
    </row>
    <row r="231" spans="3:4">
      <c r="C231"/>
      <c r="D231"/>
    </row>
    <row r="232" spans="3:4">
      <c r="C232"/>
      <c r="D232"/>
    </row>
    <row r="233" spans="3:4">
      <c r="C233"/>
      <c r="D233"/>
    </row>
    <row r="234" spans="3:4">
      <c r="C234"/>
      <c r="D234"/>
    </row>
    <row r="235" spans="3:4">
      <c r="C235"/>
      <c r="D235"/>
    </row>
    <row r="236" spans="3:4">
      <c r="C236"/>
      <c r="D236"/>
    </row>
    <row r="237" spans="3:4">
      <c r="C237"/>
      <c r="D237"/>
    </row>
    <row r="238" spans="3:4">
      <c r="C238"/>
      <c r="D238"/>
    </row>
    <row r="239" spans="3:4">
      <c r="C239"/>
      <c r="D239"/>
    </row>
    <row r="240" spans="3:4">
      <c r="C240"/>
      <c r="D240"/>
    </row>
    <row r="241" spans="3:4">
      <c r="C241"/>
      <c r="D241"/>
    </row>
    <row r="242" spans="3:4">
      <c r="C242"/>
      <c r="D242"/>
    </row>
    <row r="243" spans="3:4">
      <c r="C243"/>
      <c r="D243"/>
    </row>
    <row r="244" spans="3:4">
      <c r="C244"/>
      <c r="D244"/>
    </row>
    <row r="245" spans="3:4">
      <c r="C245"/>
      <c r="D245"/>
    </row>
    <row r="246" spans="3:4">
      <c r="C246"/>
      <c r="D246"/>
    </row>
    <row r="247" spans="3:4">
      <c r="C247"/>
      <c r="D247"/>
    </row>
    <row r="248" spans="3:4">
      <c r="C248"/>
      <c r="D248"/>
    </row>
    <row r="249" spans="3:4">
      <c r="C249"/>
      <c r="D249"/>
    </row>
    <row r="250" spans="3:4">
      <c r="C250"/>
      <c r="D250"/>
    </row>
    <row r="251" spans="3:4">
      <c r="C251"/>
      <c r="D251"/>
    </row>
    <row r="252" spans="3:4">
      <c r="C252"/>
      <c r="D252"/>
    </row>
    <row r="253" spans="3:4">
      <c r="C253"/>
      <c r="D253"/>
    </row>
    <row r="254" spans="3:4">
      <c r="C254"/>
      <c r="D254"/>
    </row>
    <row r="255" spans="3:4">
      <c r="D255" s="5"/>
    </row>
    <row r="256" spans="3:4">
      <c r="D256" s="5"/>
    </row>
    <row r="257" spans="4:4">
      <c r="D257" s="5"/>
    </row>
    <row r="258" spans="4:4">
      <c r="D258" s="5"/>
    </row>
    <row r="259" spans="4:4">
      <c r="D259" s="5"/>
    </row>
    <row r="260" spans="4:4">
      <c r="D260" s="5"/>
    </row>
    <row r="261" spans="4:4">
      <c r="D261" s="5"/>
    </row>
    <row r="262" spans="4:4">
      <c r="D262" s="5"/>
    </row>
    <row r="263" spans="4:4">
      <c r="D263" s="5"/>
    </row>
    <row r="264" spans="4:4">
      <c r="D264" s="5"/>
    </row>
    <row r="265" spans="4:4">
      <c r="D265" s="5"/>
    </row>
    <row r="266" spans="4:4">
      <c r="D266" s="5"/>
    </row>
    <row r="267" spans="4:4">
      <c r="D267" s="5"/>
    </row>
    <row r="268" spans="4:4">
      <c r="D268" s="5"/>
    </row>
    <row r="269" spans="4:4">
      <c r="D269" s="5"/>
    </row>
    <row r="270" spans="4:4">
      <c r="D270" s="5"/>
    </row>
    <row r="271" spans="4:4">
      <c r="D271" s="5"/>
    </row>
    <row r="272" spans="4:4">
      <c r="D272" s="5"/>
    </row>
    <row r="273" spans="4:4">
      <c r="D273" s="5"/>
    </row>
    <row r="274" spans="4:4">
      <c r="D274" s="5"/>
    </row>
    <row r="275" spans="4:4">
      <c r="D275" s="5"/>
    </row>
    <row r="276" spans="4:4">
      <c r="D276" s="5"/>
    </row>
    <row r="277" spans="4:4">
      <c r="D277" s="5"/>
    </row>
    <row r="278" spans="4:4">
      <c r="D278" s="5"/>
    </row>
    <row r="279" spans="4:4">
      <c r="D279" s="5"/>
    </row>
    <row r="280" spans="4:4">
      <c r="D280" s="5"/>
    </row>
    <row r="281" spans="4:4">
      <c r="D281" s="5"/>
    </row>
    <row r="282" spans="4:4">
      <c r="D282" s="5"/>
    </row>
    <row r="283" spans="4:4">
      <c r="D283" s="5"/>
    </row>
    <row r="284" spans="4:4">
      <c r="D284" s="5"/>
    </row>
    <row r="285" spans="4:4">
      <c r="D285" s="5"/>
    </row>
    <row r="286" spans="4:4">
      <c r="D286" s="5"/>
    </row>
    <row r="287" spans="4:4">
      <c r="D287" s="5"/>
    </row>
    <row r="288" spans="4:4">
      <c r="D288" s="5"/>
    </row>
    <row r="289" spans="4:4">
      <c r="D289" s="5"/>
    </row>
    <row r="290" spans="4:4">
      <c r="D290" s="5"/>
    </row>
    <row r="291" spans="4:4">
      <c r="D291" s="5"/>
    </row>
    <row r="292" spans="4:4">
      <c r="D292" s="5"/>
    </row>
    <row r="293" spans="4:4">
      <c r="D293" s="5"/>
    </row>
    <row r="294" spans="4:4">
      <c r="D294" s="5"/>
    </row>
    <row r="295" spans="4:4">
      <c r="D295" s="5"/>
    </row>
    <row r="296" spans="4:4">
      <c r="D296" s="5"/>
    </row>
    <row r="297" spans="4:4">
      <c r="D297" s="5"/>
    </row>
    <row r="298" spans="4:4">
      <c r="D298" s="5"/>
    </row>
    <row r="299" spans="4:4">
      <c r="D299" s="5"/>
    </row>
    <row r="300" spans="4:4">
      <c r="D300" s="5"/>
    </row>
    <row r="301" spans="4:4">
      <c r="D301" s="5"/>
    </row>
    <row r="302" spans="4:4">
      <c r="D302" s="5"/>
    </row>
    <row r="303" spans="4:4">
      <c r="D303" s="5"/>
    </row>
    <row r="304" spans="4:4">
      <c r="D304" s="5"/>
    </row>
    <row r="305" spans="4:4">
      <c r="D305" s="5"/>
    </row>
    <row r="306" spans="4:4">
      <c r="D306" s="5"/>
    </row>
    <row r="307" spans="4:4">
      <c r="D307" s="5"/>
    </row>
    <row r="308" spans="4:4">
      <c r="D308" s="5"/>
    </row>
    <row r="309" spans="4:4">
      <c r="D309" s="5"/>
    </row>
    <row r="310" spans="4:4">
      <c r="D310" s="5"/>
    </row>
    <row r="311" spans="4:4">
      <c r="D311" s="5"/>
    </row>
    <row r="312" spans="4:4">
      <c r="D312" s="5"/>
    </row>
    <row r="313" spans="4:4">
      <c r="D313" s="5"/>
    </row>
    <row r="314" spans="4:4">
      <c r="D314" s="5"/>
    </row>
    <row r="315" spans="4:4">
      <c r="D315" s="5"/>
    </row>
    <row r="316" spans="4:4">
      <c r="D316" s="5"/>
    </row>
    <row r="317" spans="4:4">
      <c r="D317" s="5"/>
    </row>
    <row r="318" spans="4:4">
      <c r="D318" s="5"/>
    </row>
    <row r="319" spans="4:4">
      <c r="D319" s="5"/>
    </row>
    <row r="320" spans="4:4">
      <c r="D320" s="5"/>
    </row>
  </sheetData>
  <pageMargins left="0.7" right="0.7" top="0.75" bottom="0.75" header="0.3" footer="0.3"/>
  <pageSetup orientation="portrait" r:id="rId1"/>
  <headerFooter>
    <oddFooter>&amp;L&amp;1#&amp;"Arial"&amp;7&amp;K000000***Este documento está clasificado como PUBLICO por TELEFÓNICA. ***This document is classified as PUBLIC by TELEFÓNICA.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MAIL</vt:lpstr>
      <vt:lpstr>Daily voice traffic</vt:lpstr>
      <vt:lpstr>Daily OTT traffic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William Armijos</cp:lastModifiedBy>
  <cp:lastPrinted>2022-05-03T15:16:06Z</cp:lastPrinted>
  <dcterms:created xsi:type="dcterms:W3CDTF">2020-05-18T23:09:42Z</dcterms:created>
  <dcterms:modified xsi:type="dcterms:W3CDTF">2026-10-09T02:27:04Z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5bd4d2-aa7c-445f-9ef8-222ebb1d2b43_Enabled">
    <vt:lpwstr>true</vt:lpwstr>
  </property>
  <property fmtid="{D5CDD505-2E9C-101B-9397-08002B2CF9AE}" pid="3" name="MSIP_Label_e65bd4d2-aa7c-445f-9ef8-222ebb1d2b43_SetDate">
    <vt:lpwstr>2022-11-28T18:15:04Z</vt:lpwstr>
  </property>
  <property fmtid="{D5CDD505-2E9C-101B-9397-08002B2CF9AE}" pid="4" name="MSIP_Label_e65bd4d2-aa7c-445f-9ef8-222ebb1d2b43_Method">
    <vt:lpwstr>Privileged</vt:lpwstr>
  </property>
  <property fmtid="{D5CDD505-2E9C-101B-9397-08002B2CF9AE}" pid="5" name="MSIP_Label_e65bd4d2-aa7c-445f-9ef8-222ebb1d2b43_Name">
    <vt:lpwstr>e65bd4d2-aa7c-445f-9ef8-222ebb1d2b43</vt:lpwstr>
  </property>
  <property fmtid="{D5CDD505-2E9C-101B-9397-08002B2CF9AE}" pid="6" name="MSIP_Label_e65bd4d2-aa7c-445f-9ef8-222ebb1d2b43_SiteId">
    <vt:lpwstr>9744600e-3e04-492e-baa1-25ec245c6f10</vt:lpwstr>
  </property>
  <property fmtid="{D5CDD505-2E9C-101B-9397-08002B2CF9AE}" pid="7" name="MSIP_Label_e65bd4d2-aa7c-445f-9ef8-222ebb1d2b43_ActionId">
    <vt:lpwstr>aedc00ea-a980-472f-a247-9a82a2b18bf9</vt:lpwstr>
  </property>
  <property fmtid="{D5CDD505-2E9C-101B-9397-08002B2CF9AE}" pid="8" name="MSIP_Label_e65bd4d2-aa7c-445f-9ef8-222ebb1d2b43_ContentBits">
    <vt:lpwstr>2</vt:lpwstr>
  </property>
</Properties>
</file>